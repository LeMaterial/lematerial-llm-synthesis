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8" documentId="11_6CCAD7005302273948E5E4229E5B1C349E6DD07E" xr6:coauthVersionLast="47" xr6:coauthVersionMax="47" xr10:uidLastSave="{F7FEF315-62B5-4566-9E85-0A782B54A974}"/>
  <bookViews>
    <workbookView xWindow="0" yWindow="0" windowWidth="0" windowHeight="0" xr2:uid="{00000000-000D-0000-FFFF-FFFF00000000}"/>
  </bookViews>
  <sheets>
    <sheet name="Chen_2021_Figure2" sheetId="1" r:id="rId1"/>
    <sheet name="Chen_2021_Figure3" sheetId="2" r:id="rId2"/>
    <sheet name="Chen_2021_Figure6A" sheetId="3" r:id="rId3"/>
    <sheet name="Chen_2021_Figure8" sheetId="4" r:id="rId4"/>
    <sheet name="Sayas_2020_Figure4_A" sheetId="5" r:id="rId5"/>
    <sheet name="Sayas_2020_Figure4_B" sheetId="6" r:id="rId6"/>
    <sheet name="Sayas_2020_Figure4_C" sheetId="7" r:id="rId7"/>
    <sheet name="Sayas_2020_Figure4_D" sheetId="8" r:id="rId8"/>
    <sheet name="Sayas_2020_Figure5" sheetId="9" r:id="rId9"/>
    <sheet name="Sayas_2020_Figure6" sheetId="10" r:id="rId10"/>
    <sheet name="Sayas_2020_Figure3B" sheetId="11" r:id="rId11"/>
    <sheet name="Sayas_2020_Figure3A" sheetId="12" r:id="rId12"/>
    <sheet name="Itoh_2002_hydrogen_figure3" sheetId="13" r:id="rId13"/>
    <sheet name="Itoh_2002_hydrogen_figure4" sheetId="14" r:id="rId14"/>
    <sheet name="Itoh_2002_hydrogen_figure5" sheetId="15" r:id="rId15"/>
    <sheet name="Duan_2012_MCM_graphical_abstrac" sheetId="16" r:id="rId16"/>
    <sheet name="Duan_2012_MCM_figure6" sheetId="17" r:id="rId17"/>
    <sheet name="Duan_2012_MCM_figure7" sheetId="18" r:id="rId18"/>
    <sheet name="Duan_2012_MCM_figure8" sheetId="19" r:id="rId19"/>
    <sheet name="Usman_2025_rare_a" sheetId="20" r:id="rId20"/>
    <sheet name="Usman_2025_rare_b" sheetId="21" r:id="rId21"/>
    <sheet name="Usman_2025_rare_c" sheetId="22" r:id="rId22"/>
    <sheet name="Usman_2025_rare_d" sheetId="23" r:id="rId23"/>
    <sheet name="Wu_2020_ammonia" sheetId="24" r:id="rId24"/>
    <sheet name="Khan_60" sheetId="25" r:id="rId25"/>
    <sheet name="Khan_67" sheetId="26" r:id="rId26"/>
    <sheet name="Meng_2024_1" sheetId="27" r:id="rId27"/>
    <sheet name="Meng_2024_2" sheetId="28" r:id="rId28"/>
    <sheet name="Khan_68_1" sheetId="29" r:id="rId29"/>
    <sheet name="Khan_68_2" sheetId="30" r:id="rId30"/>
    <sheet name="Khan_77" sheetId="31" r:id="rId31"/>
    <sheet name="Khan_73_1" sheetId="32" r:id="rId32"/>
    <sheet name="Khan_73_2" sheetId="33" r:id="rId33"/>
    <sheet name="Khan_64" sheetId="34" r:id="rId34"/>
    <sheet name="Khan_70_1" sheetId="35" r:id="rId35"/>
    <sheet name="Khan_70_2" sheetId="36" r:id="rId36"/>
    <sheet name="Khan_70_3" sheetId="37" r:id="rId37"/>
    <sheet name="Khan_59" sheetId="38" r:id="rId38"/>
    <sheet name="Khan_31" sheetId="39" r:id="rId39"/>
    <sheet name="Khan_35_1" sheetId="40" r:id="rId40"/>
    <sheet name="Khan_35_2" sheetId="41" r:id="rId4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45" roundtripDataChecksum="E04K9zxZGxCi3VUZMiyBB539Y5Qpq9yLiqoqRHVHaRM="/>
    </ext>
  </extLst>
</workbook>
</file>

<file path=xl/calcChain.xml><?xml version="1.0" encoding="utf-8"?>
<calcChain xmlns="http://schemas.openxmlformats.org/spreadsheetml/2006/main">
  <c r="I46" i="12" l="1"/>
  <c r="H46" i="12"/>
  <c r="I45" i="12"/>
  <c r="H45" i="12"/>
  <c r="I44" i="12"/>
  <c r="H44" i="12"/>
  <c r="I43" i="12"/>
  <c r="H43" i="12"/>
  <c r="I42" i="12"/>
  <c r="H42" i="12"/>
  <c r="I41" i="12"/>
  <c r="H41" i="12"/>
  <c r="I40" i="12"/>
  <c r="H40" i="12"/>
  <c r="I38" i="12"/>
  <c r="H38" i="12"/>
  <c r="I37" i="12"/>
  <c r="H37" i="12"/>
  <c r="I36" i="12"/>
  <c r="H36" i="12"/>
  <c r="I35" i="12"/>
  <c r="H35" i="12"/>
  <c r="I34" i="12"/>
  <c r="H34" i="12"/>
  <c r="I33" i="12"/>
  <c r="H33" i="12"/>
  <c r="I32" i="12"/>
  <c r="H32" i="12"/>
  <c r="I30" i="12"/>
  <c r="H30" i="12"/>
  <c r="I29" i="12"/>
  <c r="H29" i="12"/>
  <c r="I28" i="12"/>
  <c r="H28" i="12"/>
  <c r="I27" i="12"/>
  <c r="H27" i="12"/>
  <c r="I26" i="12"/>
  <c r="H26" i="12"/>
  <c r="I25" i="12"/>
  <c r="H25" i="12"/>
  <c r="I24" i="12"/>
  <c r="H24" i="12"/>
  <c r="I22" i="12"/>
  <c r="H22" i="12"/>
  <c r="I21" i="12"/>
  <c r="H21" i="12"/>
  <c r="I20" i="12"/>
  <c r="H20" i="12"/>
  <c r="I19" i="12"/>
  <c r="H19" i="12"/>
  <c r="I18" i="12"/>
  <c r="H18" i="12"/>
  <c r="I17" i="12"/>
  <c r="H17" i="12"/>
  <c r="I16" i="12"/>
  <c r="H16" i="12"/>
  <c r="I14" i="12"/>
  <c r="H14" i="12"/>
  <c r="I13" i="12"/>
  <c r="H13" i="12"/>
  <c r="I12" i="12"/>
  <c r="H12" i="12"/>
  <c r="I11" i="12"/>
  <c r="H11" i="12"/>
  <c r="I10" i="12"/>
  <c r="H10" i="12"/>
  <c r="I9" i="12"/>
  <c r="H9" i="12"/>
  <c r="I8" i="12"/>
  <c r="H8" i="12"/>
  <c r="H6" i="12"/>
  <c r="H5" i="12"/>
  <c r="H4" i="12"/>
  <c r="H3" i="12"/>
  <c r="H2" i="12"/>
  <c r="I37" i="11"/>
  <c r="H37" i="11"/>
  <c r="I36" i="11"/>
  <c r="H36" i="11"/>
  <c r="I35" i="11"/>
  <c r="H35" i="11"/>
  <c r="I34" i="11"/>
  <c r="H34" i="11"/>
  <c r="I33" i="11"/>
  <c r="H33" i="11"/>
  <c r="I32" i="11"/>
  <c r="H32" i="11"/>
  <c r="I31" i="11"/>
  <c r="H31" i="11"/>
  <c r="I29" i="11"/>
  <c r="H29" i="11"/>
  <c r="I28" i="11"/>
  <c r="H28" i="11"/>
  <c r="I27" i="11"/>
  <c r="H27" i="11"/>
  <c r="I26" i="11"/>
  <c r="H26" i="11"/>
  <c r="I25" i="11"/>
  <c r="H25" i="11"/>
  <c r="I24" i="11"/>
  <c r="H24" i="11"/>
  <c r="I23" i="11"/>
  <c r="H23" i="11"/>
  <c r="I21" i="11"/>
  <c r="H21" i="11"/>
  <c r="I20" i="11"/>
  <c r="H20" i="11"/>
  <c r="I19" i="11"/>
  <c r="H19" i="11"/>
  <c r="I18" i="11"/>
  <c r="H18" i="11"/>
  <c r="I17" i="11"/>
  <c r="H17" i="11"/>
  <c r="I16" i="11"/>
  <c r="H16" i="11"/>
  <c r="I15" i="11"/>
  <c r="H15" i="11"/>
  <c r="I13" i="11"/>
  <c r="H13" i="11"/>
  <c r="I12" i="11"/>
  <c r="H12" i="11"/>
  <c r="I11" i="11"/>
  <c r="H11" i="11"/>
  <c r="I10" i="11"/>
  <c r="H10" i="11"/>
  <c r="I9" i="11"/>
  <c r="H9" i="11"/>
  <c r="I8" i="11"/>
  <c r="H8" i="11"/>
  <c r="I7" i="11"/>
  <c r="H7" i="11"/>
  <c r="H5" i="11"/>
  <c r="H4" i="11"/>
  <c r="H3" i="11"/>
  <c r="H2" i="11"/>
  <c r="I36" i="10"/>
  <c r="H36" i="10"/>
  <c r="I35" i="10"/>
  <c r="H35" i="10"/>
  <c r="I34" i="10"/>
  <c r="H34" i="10"/>
  <c r="I33" i="10"/>
  <c r="H33" i="10"/>
  <c r="I32" i="10"/>
  <c r="H32" i="10"/>
  <c r="I31" i="10"/>
  <c r="H31" i="10"/>
  <c r="I30" i="10"/>
  <c r="H30" i="10"/>
  <c r="I29" i="10"/>
  <c r="H29" i="10"/>
  <c r="I28" i="10"/>
  <c r="H28" i="10"/>
  <c r="I27" i="10"/>
  <c r="H27" i="10"/>
  <c r="I26" i="10"/>
  <c r="H26" i="10"/>
  <c r="I25" i="10"/>
  <c r="H25" i="10"/>
  <c r="I23" i="10"/>
  <c r="H23" i="10"/>
  <c r="I22" i="10"/>
  <c r="H22" i="10"/>
  <c r="I21" i="10"/>
  <c r="H21" i="10"/>
  <c r="I20" i="10"/>
  <c r="H20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I13" i="10"/>
  <c r="H13" i="10"/>
  <c r="I12" i="10"/>
  <c r="H12" i="10"/>
  <c r="I11" i="10"/>
  <c r="H11" i="10"/>
  <c r="I10" i="10"/>
  <c r="H10" i="10"/>
  <c r="I9" i="10"/>
  <c r="H9" i="10"/>
  <c r="I8" i="10"/>
  <c r="H8" i="10"/>
  <c r="I7" i="10"/>
  <c r="H7" i="10"/>
  <c r="I6" i="10"/>
  <c r="H6" i="10"/>
  <c r="I5" i="10"/>
  <c r="H5" i="10"/>
  <c r="I4" i="10"/>
  <c r="H4" i="10"/>
  <c r="I3" i="10"/>
  <c r="H3" i="10"/>
  <c r="I2" i="10"/>
  <c r="H2" i="10"/>
  <c r="I12" i="9"/>
  <c r="H12" i="9"/>
  <c r="I11" i="9"/>
  <c r="H11" i="9"/>
  <c r="I10" i="9"/>
  <c r="H10" i="9"/>
  <c r="I9" i="9"/>
  <c r="H9" i="9"/>
  <c r="I8" i="9"/>
  <c r="H8" i="9"/>
  <c r="I6" i="9"/>
  <c r="H6" i="9"/>
  <c r="I5" i="9"/>
  <c r="H5" i="9"/>
  <c r="I4" i="9"/>
  <c r="H4" i="9"/>
  <c r="I3" i="9"/>
  <c r="H3" i="9"/>
  <c r="I2" i="9"/>
  <c r="H2" i="9"/>
  <c r="I32" i="8"/>
  <c r="H32" i="8"/>
  <c r="I31" i="8"/>
  <c r="H31" i="8"/>
  <c r="I30" i="8"/>
  <c r="H30" i="8"/>
  <c r="I29" i="8"/>
  <c r="H29" i="8"/>
  <c r="I28" i="8"/>
  <c r="H28" i="8"/>
  <c r="I27" i="8"/>
  <c r="H27" i="8"/>
  <c r="I26" i="8"/>
  <c r="H26" i="8"/>
  <c r="I24" i="8"/>
  <c r="H24" i="8"/>
  <c r="I23" i="8"/>
  <c r="H23" i="8"/>
  <c r="I22" i="8"/>
  <c r="H22" i="8"/>
  <c r="I21" i="8"/>
  <c r="H21" i="8"/>
  <c r="I20" i="8"/>
  <c r="H20" i="8"/>
  <c r="I19" i="8"/>
  <c r="H19" i="8"/>
  <c r="I18" i="8"/>
  <c r="H18" i="8"/>
  <c r="I16" i="8"/>
  <c r="H16" i="8"/>
  <c r="I15" i="8"/>
  <c r="H15" i="8"/>
  <c r="I14" i="8"/>
  <c r="H14" i="8"/>
  <c r="I13" i="8"/>
  <c r="H13" i="8"/>
  <c r="I12" i="8"/>
  <c r="H12" i="8"/>
  <c r="I11" i="8"/>
  <c r="H11" i="8"/>
  <c r="I10" i="8"/>
  <c r="H10" i="8"/>
  <c r="I8" i="8"/>
  <c r="H8" i="8"/>
  <c r="I7" i="8"/>
  <c r="H7" i="8"/>
  <c r="I6" i="8"/>
  <c r="H6" i="8"/>
  <c r="I5" i="8"/>
  <c r="H5" i="8"/>
  <c r="I4" i="8"/>
  <c r="H4" i="8"/>
  <c r="I3" i="8"/>
  <c r="H3" i="8"/>
  <c r="I2" i="8"/>
  <c r="H2" i="8"/>
  <c r="I32" i="7"/>
  <c r="H32" i="7"/>
  <c r="I31" i="7"/>
  <c r="H31" i="7"/>
  <c r="I30" i="7"/>
  <c r="H30" i="7"/>
  <c r="I29" i="7"/>
  <c r="H29" i="7"/>
  <c r="I28" i="7"/>
  <c r="H28" i="7"/>
  <c r="I27" i="7"/>
  <c r="H27" i="7"/>
  <c r="I26" i="7"/>
  <c r="H26" i="7"/>
  <c r="I24" i="7"/>
  <c r="H24" i="7"/>
  <c r="I23" i="7"/>
  <c r="H23" i="7"/>
  <c r="I22" i="7"/>
  <c r="H22" i="7"/>
  <c r="I21" i="7"/>
  <c r="H21" i="7"/>
  <c r="I20" i="7"/>
  <c r="H20" i="7"/>
  <c r="I19" i="7"/>
  <c r="H19" i="7"/>
  <c r="I18" i="7"/>
  <c r="H18" i="7"/>
  <c r="I16" i="7"/>
  <c r="H16" i="7"/>
  <c r="I15" i="7"/>
  <c r="H15" i="7"/>
  <c r="I14" i="7"/>
  <c r="H14" i="7"/>
  <c r="I13" i="7"/>
  <c r="H13" i="7"/>
  <c r="I12" i="7"/>
  <c r="H12" i="7"/>
  <c r="I11" i="7"/>
  <c r="H11" i="7"/>
  <c r="I10" i="7"/>
  <c r="H10" i="7"/>
  <c r="I8" i="7"/>
  <c r="H8" i="7"/>
  <c r="I7" i="7"/>
  <c r="H7" i="7"/>
  <c r="I6" i="7"/>
  <c r="H6" i="7"/>
  <c r="I5" i="7"/>
  <c r="H5" i="7"/>
  <c r="I4" i="7"/>
  <c r="H4" i="7"/>
  <c r="I3" i="7"/>
  <c r="H3" i="7"/>
  <c r="I2" i="7"/>
  <c r="H2" i="7"/>
  <c r="I10" i="6"/>
  <c r="H10" i="6"/>
  <c r="I9" i="6"/>
  <c r="H9" i="6"/>
  <c r="I8" i="6"/>
  <c r="H8" i="6"/>
  <c r="I7" i="6"/>
  <c r="H7" i="6"/>
  <c r="I5" i="6"/>
  <c r="H5" i="6"/>
  <c r="I4" i="6"/>
  <c r="H4" i="6"/>
  <c r="I3" i="6"/>
  <c r="H3" i="6"/>
  <c r="I2" i="6"/>
  <c r="H2" i="6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4" i="5"/>
  <c r="H24" i="5"/>
  <c r="I23" i="5"/>
  <c r="H23" i="5"/>
  <c r="I22" i="5"/>
  <c r="H22" i="5"/>
  <c r="I21" i="5"/>
  <c r="H21" i="5"/>
  <c r="I20" i="5"/>
  <c r="H20" i="5"/>
  <c r="I19" i="5"/>
  <c r="H19" i="5"/>
  <c r="I18" i="5"/>
  <c r="H18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8" i="5"/>
  <c r="H8" i="5"/>
  <c r="I7" i="5"/>
  <c r="H7" i="5"/>
  <c r="I6" i="5"/>
  <c r="H6" i="5"/>
  <c r="I5" i="5"/>
  <c r="H5" i="5"/>
  <c r="I4" i="5"/>
  <c r="H4" i="5"/>
  <c r="I3" i="5"/>
  <c r="H3" i="5"/>
  <c r="I2" i="5"/>
  <c r="H2" i="5"/>
  <c r="I43" i="4"/>
  <c r="H43" i="4"/>
  <c r="I42" i="4"/>
  <c r="H42" i="4"/>
  <c r="I41" i="4"/>
  <c r="H41" i="4"/>
  <c r="I40" i="4"/>
  <c r="H40" i="4"/>
  <c r="I39" i="4"/>
  <c r="H39" i="4"/>
  <c r="I38" i="4"/>
  <c r="H38" i="4"/>
  <c r="I37" i="4"/>
  <c r="H37" i="4"/>
  <c r="I36" i="4"/>
  <c r="H36" i="4"/>
  <c r="I35" i="4"/>
  <c r="H35" i="4"/>
  <c r="I34" i="4"/>
  <c r="H34" i="4"/>
  <c r="I32" i="4"/>
  <c r="H32" i="4"/>
  <c r="I31" i="4"/>
  <c r="H31" i="4"/>
  <c r="I30" i="4"/>
  <c r="H30" i="4"/>
  <c r="I29" i="4"/>
  <c r="H29" i="4"/>
  <c r="I28" i="4"/>
  <c r="H28" i="4"/>
  <c r="I27" i="4"/>
  <c r="H27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6" i="4"/>
  <c r="H16" i="4"/>
  <c r="I15" i="4"/>
  <c r="H15" i="4"/>
  <c r="I14" i="4"/>
  <c r="H14" i="4"/>
  <c r="I13" i="4"/>
  <c r="H13" i="4"/>
  <c r="I12" i="4"/>
  <c r="H12" i="4"/>
  <c r="I11" i="4"/>
  <c r="H11" i="4"/>
  <c r="I9" i="4"/>
  <c r="H9" i="4"/>
  <c r="I8" i="4"/>
  <c r="H8" i="4"/>
  <c r="I7" i="4"/>
  <c r="H7" i="4"/>
  <c r="I6" i="4"/>
  <c r="H6" i="4"/>
  <c r="I5" i="4"/>
  <c r="H5" i="4"/>
  <c r="I4" i="4"/>
  <c r="H4" i="4"/>
  <c r="I3" i="4"/>
  <c r="H3" i="4"/>
  <c r="I2" i="4"/>
  <c r="H2" i="4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8" i="3"/>
  <c r="H8" i="3"/>
  <c r="I7" i="3"/>
  <c r="H7" i="3"/>
  <c r="I6" i="3"/>
  <c r="H6" i="3"/>
  <c r="I5" i="3"/>
  <c r="H5" i="3"/>
  <c r="I4" i="3"/>
  <c r="H4" i="3"/>
  <c r="I3" i="3"/>
  <c r="H3" i="3"/>
  <c r="I2" i="3"/>
  <c r="H2" i="3"/>
  <c r="I16" i="2"/>
  <c r="H16" i="2"/>
  <c r="I15" i="2"/>
  <c r="H15" i="2"/>
  <c r="I14" i="2"/>
  <c r="H14" i="2"/>
  <c r="I12" i="2"/>
  <c r="H12" i="2"/>
  <c r="I11" i="2"/>
  <c r="H11" i="2"/>
  <c r="I10" i="2"/>
  <c r="H10" i="2"/>
  <c r="I8" i="2"/>
  <c r="H8" i="2"/>
  <c r="I7" i="2"/>
  <c r="H7" i="2"/>
  <c r="I6" i="2"/>
  <c r="H6" i="2"/>
  <c r="I4" i="2"/>
  <c r="H4" i="2"/>
  <c r="I3" i="2"/>
  <c r="H3" i="2"/>
  <c r="I2" i="2"/>
  <c r="H2" i="2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  <c r="L21" i="1" l="1"/>
  <c r="L20" i="1"/>
  <c r="L22" i="1" s="1"/>
  <c r="M21" i="1"/>
  <c r="M20" i="1"/>
  <c r="M22" i="1" s="1"/>
  <c r="H19" i="2"/>
  <c r="H18" i="2"/>
  <c r="H20" i="2" s="1"/>
  <c r="I19" i="2"/>
  <c r="I18" i="2"/>
  <c r="I20" i="2" s="1"/>
  <c r="H23" i="3"/>
  <c r="H22" i="3"/>
  <c r="H24" i="3" s="1"/>
  <c r="I23" i="3"/>
  <c r="I22" i="3"/>
  <c r="I24" i="3" s="1"/>
  <c r="H49" i="4"/>
  <c r="H48" i="4"/>
  <c r="H50" i="4" s="1"/>
  <c r="I49" i="4"/>
  <c r="I48" i="4"/>
  <c r="I50" i="4" s="1"/>
  <c r="H35" i="5"/>
  <c r="H34" i="5"/>
  <c r="H36" i="5" s="1"/>
  <c r="I35" i="5"/>
  <c r="I34" i="5"/>
  <c r="I36" i="5" s="1"/>
  <c r="H13" i="6"/>
  <c r="H12" i="6"/>
  <c r="H14" i="6" s="1"/>
  <c r="I13" i="6"/>
  <c r="I12" i="6"/>
  <c r="I14" i="6" s="1"/>
  <c r="H35" i="7"/>
  <c r="H34" i="7"/>
  <c r="H36" i="7" s="1"/>
  <c r="I35" i="7"/>
  <c r="I34" i="7"/>
  <c r="I36" i="7" s="1"/>
  <c r="H35" i="8"/>
  <c r="H34" i="8"/>
  <c r="H36" i="8" s="1"/>
  <c r="I35" i="8"/>
  <c r="I34" i="8"/>
  <c r="I36" i="8" s="1"/>
  <c r="H15" i="9"/>
  <c r="H14" i="9"/>
  <c r="H16" i="9" s="1"/>
  <c r="I15" i="9"/>
  <c r="I14" i="9"/>
  <c r="I16" i="9" s="1"/>
  <c r="H39" i="10"/>
  <c r="H38" i="10"/>
  <c r="H40" i="10" s="1"/>
  <c r="I39" i="10"/>
  <c r="I38" i="10"/>
  <c r="I40" i="10" s="1"/>
  <c r="H40" i="11"/>
  <c r="H39" i="11"/>
  <c r="H41" i="11" s="1"/>
  <c r="I40" i="11"/>
  <c r="I39" i="11"/>
  <c r="I41" i="11" s="1"/>
  <c r="H49" i="12"/>
  <c r="H48" i="12"/>
  <c r="H50" i="12" s="1"/>
  <c r="I49" i="12"/>
  <c r="I48" i="12"/>
  <c r="I50" i="12" s="1"/>
</calcChain>
</file>

<file path=xl/sharedStrings.xml><?xml version="1.0" encoding="utf-8"?>
<sst xmlns="http://schemas.openxmlformats.org/spreadsheetml/2006/main" count="268" uniqueCount="135">
  <si>
    <t xml:space="preserve">Anna </t>
  </si>
  <si>
    <t>Mathilde</t>
  </si>
  <si>
    <t>Faris</t>
  </si>
  <si>
    <t>Diff</t>
  </si>
  <si>
    <t>black</t>
  </si>
  <si>
    <t>red</t>
  </si>
  <si>
    <t>Average</t>
  </si>
  <si>
    <t>Median</t>
  </si>
  <si>
    <t>Maximum</t>
  </si>
  <si>
    <t>order_in</t>
  </si>
  <si>
    <t>order_out</t>
  </si>
  <si>
    <t>size_in</t>
  </si>
  <si>
    <t>size_out</t>
  </si>
  <si>
    <t>blue</t>
  </si>
  <si>
    <t>K-Ru_MgO</t>
  </si>
  <si>
    <t>Li2NH</t>
  </si>
  <si>
    <t>LiNH2-MgO</t>
  </si>
  <si>
    <t>Ru_CNTs</t>
  </si>
  <si>
    <t>Ru_MgO</t>
  </si>
  <si>
    <t>1bar</t>
  </si>
  <si>
    <t>10bar</t>
  </si>
  <si>
    <t>20bar</t>
  </si>
  <si>
    <t>40bar</t>
  </si>
  <si>
    <t>40 bar</t>
  </si>
  <si>
    <t>3Ru_10K_CaO</t>
  </si>
  <si>
    <t>3Ru_CaO</t>
  </si>
  <si>
    <t>3Ru_5K_CaO</t>
  </si>
  <si>
    <t>3Ru_15K_CaO</t>
  </si>
  <si>
    <t>1Ru-10K_CaO</t>
  </si>
  <si>
    <t>2Ru-10K_CaO</t>
  </si>
  <si>
    <t>3Ru-10K_CaO</t>
  </si>
  <si>
    <t>5Ru-10K_CaO</t>
  </si>
  <si>
    <t>7Ru-10K_CaO</t>
  </si>
  <si>
    <t>Fe/CeO2</t>
  </si>
  <si>
    <t>Fe</t>
  </si>
  <si>
    <t>Fe-SiO2</t>
  </si>
  <si>
    <t>Fe_Al2O3</t>
  </si>
  <si>
    <t>Fe-CeO2</t>
  </si>
  <si>
    <t>Fe-SrO</t>
  </si>
  <si>
    <t>Fe/CeO2-ZrO2 (30:1:5)</t>
  </si>
  <si>
    <t>Fe/ZrO2</t>
  </si>
  <si>
    <t>Fe/CeO2-ZrO2 (10:1:1)</t>
  </si>
  <si>
    <t>triangle_filled</t>
  </si>
  <si>
    <t>triangle_empty</t>
  </si>
  <si>
    <t>triangle_filled_down</t>
  </si>
  <si>
    <t>triangle_empty_down</t>
  </si>
  <si>
    <t>square_filled</t>
  </si>
  <si>
    <t>square_empty</t>
  </si>
  <si>
    <t>circle</t>
  </si>
  <si>
    <t>triangle</t>
  </si>
  <si>
    <t>blank</t>
  </si>
  <si>
    <t>50% Ni/Al2O3</t>
  </si>
  <si>
    <t>5% La/Ni/Al2O3</t>
  </si>
  <si>
    <t>5% Ce/Ni/Al2O3</t>
  </si>
  <si>
    <t>5% Nd/Ni/Al2O3</t>
  </si>
  <si>
    <t>5% Sm/Ni/Al2O3</t>
  </si>
  <si>
    <t>20, 400 mL/gcat/h</t>
  </si>
  <si>
    <t>10, 200 mL/gcat/h</t>
  </si>
  <si>
    <t>30, 600 mL/gcat/h</t>
  </si>
  <si>
    <t>5%La/Ni/Al2O3</t>
  </si>
  <si>
    <t>10%La/Ni/Al2O3</t>
  </si>
  <si>
    <t>3%La/Ni/Al2O3</t>
  </si>
  <si>
    <t>3%Sm/Ni/Al2O3</t>
  </si>
  <si>
    <t>5%Sm/Ni/Al2O3</t>
  </si>
  <si>
    <t>10%Sm/Ni/Al2O3</t>
  </si>
  <si>
    <t>Ni/SiO2</t>
  </si>
  <si>
    <t>Ni7CO3/SiO2</t>
  </si>
  <si>
    <t>Ni5CO5/SiO2</t>
  </si>
  <si>
    <t>Ni3CO7/SiO2</t>
  </si>
  <si>
    <t>CO/SiO2</t>
  </si>
  <si>
    <t>Fe-Co</t>
  </si>
  <si>
    <t>Co</t>
  </si>
  <si>
    <t>Mo</t>
  </si>
  <si>
    <t>Mo-Co</t>
  </si>
  <si>
    <t>Fe-Ni</t>
  </si>
  <si>
    <t>Ni</t>
  </si>
  <si>
    <t>Mo-Ni</t>
  </si>
  <si>
    <t xml:space="preserve">Mo </t>
  </si>
  <si>
    <t>10Fe</t>
  </si>
  <si>
    <t>8Fe-2Co</t>
  </si>
  <si>
    <t>7Fe-3Co</t>
  </si>
  <si>
    <t>5Fe-5Co</t>
  </si>
  <si>
    <t>4Fe-6Co</t>
  </si>
  <si>
    <t>2Fe-8Co</t>
  </si>
  <si>
    <t>10Co</t>
  </si>
  <si>
    <t>10Ni</t>
  </si>
  <si>
    <t>10Mo</t>
  </si>
  <si>
    <t>5Ni-5Mo</t>
  </si>
  <si>
    <t>5Co-5Mo</t>
  </si>
  <si>
    <t>5Fe-5Ni</t>
  </si>
  <si>
    <t>9Fe-1Ni</t>
  </si>
  <si>
    <t>7Fe-3Ni</t>
  </si>
  <si>
    <t>6Fe-4Ni</t>
  </si>
  <si>
    <t>2Fe-8Ni</t>
  </si>
  <si>
    <t>CAT1/CeO2</t>
  </si>
  <si>
    <t>CAT2/CeO2</t>
  </si>
  <si>
    <t>CAT1/TiO2</t>
  </si>
  <si>
    <t>CAT2/TiO2</t>
  </si>
  <si>
    <t>Fe10/YSZ</t>
  </si>
  <si>
    <t>Mo10/YSZ</t>
  </si>
  <si>
    <t>Fe10Mo10/YSZ</t>
  </si>
  <si>
    <t>Fe5Mo5/YSZ</t>
  </si>
  <si>
    <t>YSZ</t>
  </si>
  <si>
    <t>CSZ</t>
  </si>
  <si>
    <t>LSZ</t>
  </si>
  <si>
    <t>CZ-Al2O3</t>
  </si>
  <si>
    <t>La-Al2O3</t>
  </si>
  <si>
    <t>Mg6Fe2</t>
  </si>
  <si>
    <t>Mg5Co1Fe2</t>
  </si>
  <si>
    <t>Mg3Co3Fe2</t>
  </si>
  <si>
    <t>Mg1Co5Fe2</t>
  </si>
  <si>
    <t>Co6Fe2</t>
  </si>
  <si>
    <t>Pt-SiO2(10)</t>
  </si>
  <si>
    <t>Pt-SiO2(5)</t>
  </si>
  <si>
    <t>Pt-SiO2(2.5)</t>
  </si>
  <si>
    <t>Pt-Sn-SiO2</t>
  </si>
  <si>
    <t>Pt-SiO2 (10)</t>
  </si>
  <si>
    <t>Pt-Ni-SiO2</t>
  </si>
  <si>
    <t>Pt@MCM-41</t>
  </si>
  <si>
    <t>Pt-Ni@MCM-41</t>
  </si>
  <si>
    <t>Pt-Sn@MCM-41</t>
  </si>
  <si>
    <t>Mo2N</t>
  </si>
  <si>
    <t>Co3Mo3N</t>
  </si>
  <si>
    <t>Ni3Mo3N</t>
  </si>
  <si>
    <t>Fe3Mo3N</t>
  </si>
  <si>
    <t>Ru/Ce02</t>
  </si>
  <si>
    <t>Ru-Ni/Ce02</t>
  </si>
  <si>
    <t>Ni-Ru/Ce02</t>
  </si>
  <si>
    <t>NiRu/Ce02</t>
  </si>
  <si>
    <t>Ru/Al2O3</t>
  </si>
  <si>
    <t>Ni/CeO2</t>
  </si>
  <si>
    <t>Ni/Al2O3</t>
  </si>
  <si>
    <t>Blank</t>
  </si>
  <si>
    <t>Al2O3</t>
  </si>
  <si>
    <t>CeO2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</si>
</sst>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rial"/>
    </font>
    <font>
      <sz val="12"/>
      <color rgb="FF000000"/>
      <name val="Arial"/>
    </font>
    <font>
      <sz val="12"/>
      <color rgb="FF000000"/>
      <name val="Aptos Narrow"/>
      <scheme val="minor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84E291"/>
        <bgColor rgb="FF84E291"/>
      </patternFill>
    </fill>
    <fill>
      <patternFill patternType="solid">
        <fgColor rgb="FFE49EDD"/>
        <bgColor rgb="FFE49EDD"/>
      </patternFill>
    </fill>
    <fill>
      <patternFill patternType="solid">
        <fgColor rgb="FFF6C6AC"/>
        <bgColor rgb="FFF6C6AC"/>
      </patternFill>
    </fill>
    <fill>
      <patternFill patternType="solid">
        <fgColor rgb="FFC1F0C8"/>
        <bgColor rgb="FFC1F0C8"/>
      </patternFill>
    </fill>
    <fill>
      <patternFill patternType="solid">
        <fgColor rgb="FFF1CEEE"/>
        <bgColor rgb="FFF1CEEE"/>
      </patternFill>
    </fill>
    <fill>
      <patternFill patternType="solid">
        <fgColor rgb="FFFAE2D5"/>
        <bgColor rgb="FFFAE2D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0" xfId="0" applyFont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3" fillId="7" borderId="1" xfId="0" applyFont="1" applyFill="1" applyBorder="1"/>
    <xf numFmtId="0" fontId="3" fillId="0" borderId="0" xfId="0" applyFont="1"/>
    <xf numFmtId="0" fontId="1" fillId="6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4" fillId="3" borderId="0" xfId="0" applyFont="1" applyFill="1"/>
    <xf numFmtId="0" fontId="2" fillId="3" borderId="0" xfId="0" applyFont="1" applyFill="1"/>
    <xf numFmtId="0" fontId="4" fillId="0" borderId="0" xfId="0" applyFont="1"/>
    <xf numFmtId="0" fontId="2" fillId="6" borderId="0" xfId="0" applyFont="1" applyFill="1"/>
    <xf numFmtId="0" fontId="5" fillId="3" borderId="0" xfId="0" applyFont="1" applyFill="1"/>
    <xf numFmtId="0" fontId="6" fillId="3" borderId="0" xfId="0" applyFont="1" applyFill="1"/>
    <xf numFmtId="0" fontId="7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>
      <selection activeCell="H2" sqref="H2:I8"/>
    </sheetView>
  </sheetViews>
  <sheetFormatPr defaultColWidth="11.25" defaultRowHeight="15" customHeight="1"/>
  <cols>
    <col min="1" max="30" width="10.5" customWidth="1"/>
  </cols>
  <sheetData>
    <row r="1" spans="1:13" ht="15.75" customHeight="1">
      <c r="B1" s="1" t="s">
        <v>0</v>
      </c>
      <c r="C1" s="1"/>
      <c r="E1" s="2" t="s">
        <v>1</v>
      </c>
      <c r="F1" s="2"/>
      <c r="H1" t="s">
        <v>2</v>
      </c>
      <c r="L1" s="3" t="s">
        <v>3</v>
      </c>
      <c r="M1" s="3"/>
    </row>
    <row r="2" spans="1:13" ht="15.75" customHeight="1">
      <c r="A2" s="4" t="s">
        <v>4</v>
      </c>
      <c r="B2" s="5">
        <v>107.0262541</v>
      </c>
      <c r="C2" s="5">
        <v>2.429782237E-2</v>
      </c>
      <c r="E2" s="6">
        <v>107.54716980000001</v>
      </c>
      <c r="F2" s="6">
        <v>2.353322331E-2</v>
      </c>
      <c r="H2" s="18">
        <v>107.384615</v>
      </c>
      <c r="I2" s="18">
        <v>2.355554E-2</v>
      </c>
      <c r="L2" s="7">
        <f t="shared" ref="L2:M2" si="0">E2-B2</f>
        <v>0.52091570000000331</v>
      </c>
      <c r="M2" s="7">
        <f t="shared" si="0"/>
        <v>-7.6459905999999925E-4</v>
      </c>
    </row>
    <row r="3" spans="1:13" ht="15.75" customHeight="1">
      <c r="B3" s="5">
        <v>110.33861709999999</v>
      </c>
      <c r="C3" s="5">
        <v>1.9305793889999999E-2</v>
      </c>
      <c r="E3" s="6">
        <v>110.1886792</v>
      </c>
      <c r="F3" s="6">
        <v>2.0404901999999999E-2</v>
      </c>
      <c r="H3" s="18">
        <v>110.153846</v>
      </c>
      <c r="I3" s="18">
        <v>2.027574E-2</v>
      </c>
      <c r="L3" s="7">
        <f t="shared" ref="L3:M3" si="1">E3-B3</f>
        <v>-0.14993789999999763</v>
      </c>
      <c r="M3" s="7">
        <f t="shared" si="1"/>
        <v>1.0991081100000001E-3</v>
      </c>
    </row>
    <row r="4" spans="1:13" ht="15.75" customHeight="1">
      <c r="B4" s="5">
        <v>117.10115570000001</v>
      </c>
      <c r="C4" s="5">
        <v>0.82569230819999995</v>
      </c>
      <c r="E4" s="6">
        <v>117.3584906</v>
      </c>
      <c r="F4" s="6">
        <v>0.83244199679999997</v>
      </c>
      <c r="H4" s="18">
        <v>117.274725</v>
      </c>
      <c r="I4" s="18">
        <v>0.84252227999999996</v>
      </c>
      <c r="L4" s="7">
        <f t="shared" ref="L4:M4" si="2">E4-B4</f>
        <v>0.25733489999998937</v>
      </c>
      <c r="M4" s="7">
        <f t="shared" si="2"/>
        <v>6.7496886000000256E-3</v>
      </c>
    </row>
    <row r="5" spans="1:13" ht="15.75" customHeight="1">
      <c r="B5" s="5">
        <v>124.73723649999999</v>
      </c>
      <c r="C5" s="5">
        <v>1.372143034</v>
      </c>
      <c r="E5" s="6">
        <v>125.53459119999999</v>
      </c>
      <c r="F5" s="6">
        <v>1.413977432</v>
      </c>
      <c r="H5" s="18">
        <v>125.318681</v>
      </c>
      <c r="I5" s="18">
        <v>1.4087606399999999</v>
      </c>
      <c r="L5" s="7">
        <f t="shared" ref="L5:M5" si="3">E5-B5</f>
        <v>0.79735469999999964</v>
      </c>
      <c r="M5" s="7">
        <f t="shared" si="3"/>
        <v>4.1834397999999995E-2</v>
      </c>
    </row>
    <row r="6" spans="1:13" ht="15.75" customHeight="1">
      <c r="B6" s="5">
        <v>121.7328251</v>
      </c>
      <c r="C6" s="5">
        <v>4.215249429</v>
      </c>
      <c r="E6" s="6">
        <v>122.3899371</v>
      </c>
      <c r="F6" s="6">
        <v>4.4260640990000004</v>
      </c>
      <c r="H6" s="18">
        <v>125.384615</v>
      </c>
      <c r="I6" s="18">
        <v>2.4065525499999998</v>
      </c>
      <c r="L6" s="7">
        <f t="shared" ref="L6:M6" si="4">E6-B6</f>
        <v>0.65711199999999792</v>
      </c>
      <c r="M6" s="7">
        <f t="shared" si="4"/>
        <v>0.21081467000000043</v>
      </c>
    </row>
    <row r="7" spans="1:13" ht="15.75" customHeight="1">
      <c r="B7" s="5">
        <v>125.1825146</v>
      </c>
      <c r="C7" s="5">
        <v>2.290642869</v>
      </c>
      <c r="E7" s="6">
        <v>125.53459119999999</v>
      </c>
      <c r="F7" s="6">
        <v>2.401767553</v>
      </c>
      <c r="H7" s="18">
        <v>122.285714</v>
      </c>
      <c r="I7" s="18">
        <v>4.4788115599999996</v>
      </c>
      <c r="L7" s="7">
        <f t="shared" ref="L7:M7" si="5">E7-B7</f>
        <v>0.35207659999998953</v>
      </c>
      <c r="M7" s="7">
        <f t="shared" si="5"/>
        <v>0.11112468399999997</v>
      </c>
    </row>
    <row r="8" spans="1:13" ht="15.75" customHeight="1">
      <c r="B8" s="5">
        <v>141.15613490000001</v>
      </c>
      <c r="C8" s="5">
        <v>7.0861668140000003</v>
      </c>
      <c r="E8" s="6">
        <v>141.6352201</v>
      </c>
      <c r="F8" s="6">
        <v>7.2178371569999999</v>
      </c>
      <c r="H8" s="18">
        <v>141.53846200000001</v>
      </c>
      <c r="I8" s="18">
        <v>7.33020768</v>
      </c>
      <c r="L8" s="7">
        <f t="shared" ref="L8:M8" si="6">E8-B8</f>
        <v>0.47908519999998589</v>
      </c>
      <c r="M8" s="7">
        <f t="shared" si="6"/>
        <v>0.13167034299999969</v>
      </c>
    </row>
    <row r="9" spans="1:13" ht="15.75" customHeight="1">
      <c r="B9" s="5"/>
      <c r="C9" s="5"/>
      <c r="E9" s="6"/>
      <c r="F9" s="6"/>
      <c r="L9" s="7"/>
      <c r="M9" s="7"/>
    </row>
    <row r="10" spans="1:13" ht="15.75" customHeight="1">
      <c r="A10" s="4" t="s">
        <v>5</v>
      </c>
      <c r="B10" s="5">
        <v>107.1191013</v>
      </c>
      <c r="C10" s="5">
        <v>0.39619862300000003</v>
      </c>
      <c r="E10" s="6">
        <v>107.4213836</v>
      </c>
      <c r="F10" s="6">
        <v>0.41636002560000002</v>
      </c>
      <c r="H10" s="18">
        <v>107.384615</v>
      </c>
      <c r="I10" s="18">
        <v>0.41553216999999998</v>
      </c>
      <c r="L10" s="7">
        <f t="shared" ref="L10:M10" si="7">E10-B10</f>
        <v>0.30228230000000167</v>
      </c>
      <c r="M10" s="7">
        <f t="shared" si="7"/>
        <v>2.0161402599999989E-2</v>
      </c>
    </row>
    <row r="11" spans="1:13" ht="15.75" customHeight="1">
      <c r="B11" s="5">
        <v>109.7377834</v>
      </c>
      <c r="C11" s="5">
        <v>0.2414126701</v>
      </c>
      <c r="E11" s="6">
        <v>110.3144654</v>
      </c>
      <c r="F11" s="6">
        <v>0.24017675529999999</v>
      </c>
      <c r="H11" s="18">
        <v>110.021978</v>
      </c>
      <c r="I11" s="18">
        <v>0.24324645</v>
      </c>
      <c r="L11" s="7">
        <f t="shared" ref="L11:M11" si="8">E11-B11</f>
        <v>0.57668200000000525</v>
      </c>
      <c r="M11" s="7">
        <f t="shared" si="8"/>
        <v>-1.2359148000000153E-3</v>
      </c>
    </row>
    <row r="12" spans="1:13" ht="15.75" customHeight="1">
      <c r="B12" s="5">
        <v>117.0311557</v>
      </c>
      <c r="C12" s="5">
        <v>3.2407976550000002</v>
      </c>
      <c r="E12" s="6">
        <v>117.3584906</v>
      </c>
      <c r="F12" s="6">
        <v>3.1946609910000001</v>
      </c>
      <c r="H12" s="18">
        <v>117.274725</v>
      </c>
      <c r="I12" s="18">
        <v>3.3184114400000002</v>
      </c>
      <c r="L12" s="7">
        <f t="shared" ref="L12:M12" si="9">E12-B12</f>
        <v>0.32733489999999676</v>
      </c>
      <c r="M12" s="7">
        <f t="shared" si="9"/>
        <v>-4.6136664000000049E-2</v>
      </c>
    </row>
    <row r="13" spans="1:13" ht="15.75" customHeight="1">
      <c r="B13" s="5">
        <v>121.972478</v>
      </c>
      <c r="C13" s="5">
        <v>3.9063189779999998</v>
      </c>
      <c r="E13" s="6">
        <v>122.5157233</v>
      </c>
      <c r="F13" s="6">
        <v>4.0796177159999996</v>
      </c>
      <c r="H13" s="18">
        <v>122.285714</v>
      </c>
      <c r="I13" s="18">
        <v>4.2000630900000004</v>
      </c>
      <c r="L13" s="7">
        <f t="shared" ref="L13:M13" si="10">E13-B13</f>
        <v>0.54324530000000948</v>
      </c>
      <c r="M13" s="7">
        <f t="shared" si="10"/>
        <v>0.17329873799999973</v>
      </c>
    </row>
    <row r="14" spans="1:13" ht="15.75" customHeight="1">
      <c r="B14" s="5">
        <v>125.1241812</v>
      </c>
      <c r="C14" s="5">
        <v>7.1584464700000003</v>
      </c>
      <c r="E14" s="6">
        <v>125.2830189</v>
      </c>
      <c r="F14" s="6">
        <v>6.008430776</v>
      </c>
      <c r="H14" s="18">
        <v>125.318681</v>
      </c>
      <c r="I14" s="18">
        <v>5.7914951600000002</v>
      </c>
      <c r="L14" s="7">
        <f t="shared" ref="L14:M14" si="11">E14-B14</f>
        <v>0.15883770000000652</v>
      </c>
      <c r="M14" s="7">
        <f t="shared" si="11"/>
        <v>-1.1500156940000004</v>
      </c>
    </row>
    <row r="15" spans="1:13" ht="15.75" customHeight="1">
      <c r="B15" s="5">
        <v>125.1377923</v>
      </c>
      <c r="C15" s="5">
        <v>5.4872042009999999</v>
      </c>
      <c r="E15" s="6">
        <v>125.53459119999999</v>
      </c>
      <c r="F15" s="6">
        <v>6.9295967799999998</v>
      </c>
      <c r="H15" s="18">
        <v>125.450549</v>
      </c>
      <c r="I15" s="18">
        <v>7.0228214700000002</v>
      </c>
      <c r="L15" s="7">
        <f t="shared" ref="L15:M15" si="12">E15-B15</f>
        <v>0.39679889999999318</v>
      </c>
      <c r="M15" s="7">
        <f t="shared" si="12"/>
        <v>1.4423925789999998</v>
      </c>
    </row>
    <row r="16" spans="1:13" ht="15.75" customHeight="1">
      <c r="B16" s="5">
        <v>141.61599630000001</v>
      </c>
      <c r="C16" s="5">
        <v>8.8972136929999994</v>
      </c>
      <c r="E16" s="6">
        <v>141.6352201</v>
      </c>
      <c r="F16" s="6">
        <v>9.79829346</v>
      </c>
      <c r="H16" s="18">
        <v>141.67033000000001</v>
      </c>
      <c r="I16" s="18">
        <v>9.8934744699999992</v>
      </c>
      <c r="L16" s="7">
        <f t="shared" ref="L16:M16" si="13">E16-B16</f>
        <v>1.9223799999991797E-2</v>
      </c>
      <c r="M16" s="7">
        <f t="shared" si="13"/>
        <v>0.90107976700000059</v>
      </c>
    </row>
    <row r="17" spans="2:14" ht="15.75" customHeight="1">
      <c r="B17" s="5">
        <v>154.18635080000001</v>
      </c>
      <c r="C17" s="5">
        <v>2.0452514420000001</v>
      </c>
      <c r="E17" s="6">
        <v>154.33962260000001</v>
      </c>
      <c r="F17" s="6">
        <v>2.3533223310000002</v>
      </c>
      <c r="H17" s="18">
        <v>151.95604399999999</v>
      </c>
      <c r="I17" s="18">
        <v>1.4087606399999999</v>
      </c>
      <c r="L17" s="7">
        <f t="shared" ref="L17:M17" si="14">E17-B17</f>
        <v>0.15327179999999885</v>
      </c>
      <c r="M17" s="7">
        <f t="shared" si="14"/>
        <v>0.30807088900000013</v>
      </c>
    </row>
    <row r="18" spans="2:14" ht="15.75" customHeight="1">
      <c r="B18" s="5">
        <v>152.09072459999999</v>
      </c>
      <c r="C18" s="5">
        <v>1.226429003</v>
      </c>
      <c r="E18" s="6">
        <v>152.07547170000001</v>
      </c>
      <c r="F18" s="6">
        <v>1.357511017</v>
      </c>
      <c r="H18" s="18">
        <v>154.197802</v>
      </c>
      <c r="I18" s="18">
        <v>2.4065525499999998</v>
      </c>
      <c r="L18" s="7">
        <f t="shared" ref="L18:M18" si="15">E18-B18</f>
        <v>-1.5252899999978808E-2</v>
      </c>
      <c r="M18" s="7">
        <f t="shared" si="15"/>
        <v>0.13108201399999997</v>
      </c>
    </row>
    <row r="19" spans="2:14" ht="15.75" customHeight="1">
      <c r="L19" s="7"/>
      <c r="M19" s="7"/>
    </row>
    <row r="20" spans="2:14" ht="15.75" customHeight="1">
      <c r="L20" s="7">
        <f t="shared" ref="L20:M20" si="16">AVERAGE(L2:L18)</f>
        <v>0.33602281249999955</v>
      </c>
      <c r="M20" s="7">
        <f t="shared" si="16"/>
        <v>0.14257658809062498</v>
      </c>
      <c r="N20" s="4" t="s">
        <v>6</v>
      </c>
    </row>
    <row r="21" spans="2:14" ht="15.75" customHeight="1">
      <c r="L21" s="7">
        <f t="shared" ref="L21:M21" si="17">MEDIAN(L2:L18)</f>
        <v>0.33970574999999315</v>
      </c>
      <c r="M21" s="7">
        <f t="shared" si="17"/>
        <v>7.6479540999999984E-2</v>
      </c>
      <c r="N21" s="4" t="s">
        <v>7</v>
      </c>
    </row>
    <row r="22" spans="2:14" ht="15.75" customHeight="1">
      <c r="L22" s="7">
        <f t="shared" ref="L22:M22" si="18">MAX(L2:L21)</f>
        <v>0.79735469999999964</v>
      </c>
      <c r="M22" s="7">
        <f t="shared" si="18"/>
        <v>1.4423925789999998</v>
      </c>
      <c r="N22" s="4" t="s">
        <v>8</v>
      </c>
    </row>
    <row r="23" spans="2:14" ht="15.75" customHeight="1"/>
    <row r="24" spans="2:14" ht="15.75" customHeight="1"/>
    <row r="25" spans="2:14" ht="15.75" customHeight="1"/>
    <row r="26" spans="2:14" ht="15.75" customHeight="1"/>
    <row r="27" spans="2:14" ht="15.75" customHeight="1"/>
    <row r="28" spans="2:14" ht="15.75" customHeight="1"/>
    <row r="29" spans="2:14" ht="15.75" customHeight="1"/>
    <row r="30" spans="2:14" ht="15.75" customHeight="1"/>
    <row r="31" spans="2:14" ht="15.75" customHeight="1"/>
    <row r="32" spans="2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1.25" defaultRowHeight="15" customHeight="1"/>
  <cols>
    <col min="1" max="26" width="10.5" customWidth="1"/>
  </cols>
  <sheetData>
    <row r="1" spans="1:9" ht="15.75" customHeight="1">
      <c r="B1" s="1" t="s">
        <v>0</v>
      </c>
      <c r="C1" s="1"/>
      <c r="E1" s="2" t="s">
        <v>1</v>
      </c>
      <c r="F1" s="2"/>
      <c r="H1" s="3" t="s">
        <v>3</v>
      </c>
      <c r="I1" s="3"/>
    </row>
    <row r="2" spans="1:9" ht="15.75" customHeight="1">
      <c r="A2" s="4" t="s">
        <v>9</v>
      </c>
      <c r="B2" s="5">
        <v>1.131083329</v>
      </c>
      <c r="C2" s="5">
        <v>7.9161715069999996</v>
      </c>
      <c r="E2" s="6">
        <v>1.087121212</v>
      </c>
      <c r="F2" s="6">
        <v>7.9731543619999998</v>
      </c>
      <c r="H2" s="7">
        <f t="shared" ref="H2:I2" si="0">E2-B2</f>
        <v>-4.3962116999999967E-2</v>
      </c>
      <c r="I2" s="7">
        <f t="shared" si="0"/>
        <v>5.6982855000000221E-2</v>
      </c>
    </row>
    <row r="3" spans="1:9" ht="15.75" customHeight="1">
      <c r="B3" s="5">
        <v>1.3929932979999999</v>
      </c>
      <c r="C3" s="5">
        <v>4.7217996859999998</v>
      </c>
      <c r="E3" s="6">
        <v>1.3778409089999999</v>
      </c>
      <c r="F3" s="6">
        <v>4.7114093959999996</v>
      </c>
      <c r="H3" s="7">
        <f t="shared" ref="H3:I3" si="1">E3-B3</f>
        <v>-1.5152389000000044E-2</v>
      </c>
      <c r="I3" s="7">
        <f t="shared" si="1"/>
        <v>-1.0390290000000135E-2</v>
      </c>
    </row>
    <row r="4" spans="1:9" ht="15.75" customHeight="1">
      <c r="B4" s="5">
        <v>1.4609164800000001</v>
      </c>
      <c r="C4" s="5">
        <v>3.527974521</v>
      </c>
      <c r="E4" s="6">
        <v>1.455492424</v>
      </c>
      <c r="F4" s="6">
        <v>3.5637583890000002</v>
      </c>
      <c r="H4" s="7">
        <f t="shared" ref="H4:I4" si="2">E4-B4</f>
        <v>-5.4240560000000659E-3</v>
      </c>
      <c r="I4" s="7">
        <f t="shared" si="2"/>
        <v>3.5783868000000219E-2</v>
      </c>
    </row>
    <row r="5" spans="1:9" ht="15.75" customHeight="1">
      <c r="B5" s="5"/>
      <c r="C5" s="5"/>
      <c r="E5" s="6"/>
      <c r="F5" s="6"/>
      <c r="H5" s="7"/>
      <c r="I5" s="7"/>
    </row>
    <row r="6" spans="1:9" ht="15.75" customHeight="1">
      <c r="A6" s="4" t="s">
        <v>10</v>
      </c>
      <c r="B6" s="5">
        <v>1.135100062</v>
      </c>
      <c r="C6" s="5">
        <v>11.28017303</v>
      </c>
      <c r="E6" s="6">
        <v>1.087121212</v>
      </c>
      <c r="F6" s="6">
        <v>11.45637584</v>
      </c>
      <c r="H6" s="7">
        <f t="shared" ref="H6:I6" si="3">E6-B6</f>
        <v>-4.7978850000000017E-2</v>
      </c>
      <c r="I6" s="7">
        <f t="shared" si="3"/>
        <v>0.17620280999999949</v>
      </c>
    </row>
    <row r="7" spans="1:9" ht="15.75" customHeight="1">
      <c r="B7" s="5">
        <v>1.391781148</v>
      </c>
      <c r="C7" s="5">
        <v>9.0853258540000006</v>
      </c>
      <c r="E7" s="6">
        <v>1.3778409089999999</v>
      </c>
      <c r="F7" s="6">
        <v>9.1812080540000007</v>
      </c>
      <c r="H7" s="7">
        <f t="shared" ref="H7:I7" si="4">E7-B7</f>
        <v>-1.3940239000000076E-2</v>
      </c>
      <c r="I7" s="7">
        <f t="shared" si="4"/>
        <v>9.588220000000014E-2</v>
      </c>
    </row>
    <row r="8" spans="1:9" ht="15.75" customHeight="1">
      <c r="B8" s="5">
        <v>1.4610353190000001</v>
      </c>
      <c r="C8" s="5">
        <v>3.9825307790000002</v>
      </c>
      <c r="E8" s="6">
        <v>1.456439394</v>
      </c>
      <c r="F8" s="6">
        <v>3.9865771809999999</v>
      </c>
      <c r="H8" s="7">
        <f t="shared" ref="H8:I8" si="5">E8-B8</f>
        <v>-4.5959250000000562E-3</v>
      </c>
      <c r="I8" s="7">
        <f t="shared" si="5"/>
        <v>4.0464019999997269E-3</v>
      </c>
    </row>
    <row r="9" spans="1:9" ht="15.75" customHeight="1">
      <c r="B9" s="5"/>
      <c r="C9" s="5"/>
      <c r="E9" s="6"/>
      <c r="F9" s="6"/>
      <c r="H9" s="7"/>
      <c r="I9" s="7"/>
    </row>
    <row r="10" spans="1:9" ht="15.75" customHeight="1">
      <c r="A10" s="4" t="s">
        <v>11</v>
      </c>
      <c r="B10" s="5">
        <v>1.3538194610000001</v>
      </c>
      <c r="C10" s="5">
        <v>7.8818747919999996</v>
      </c>
      <c r="E10" s="6">
        <v>1.336174242</v>
      </c>
      <c r="F10" s="6">
        <v>7.9932885909999998</v>
      </c>
      <c r="H10" s="7">
        <f t="shared" ref="H10:I10" si="6">E10-B12</f>
        <v>-0.13885071399999993</v>
      </c>
      <c r="I10" s="7">
        <f t="shared" si="6"/>
        <v>4.5003951180000001</v>
      </c>
    </row>
    <row r="11" spans="1:9" ht="15.75" customHeight="1">
      <c r="B11" s="5">
        <v>1.4173408759999999</v>
      </c>
      <c r="C11" s="5">
        <v>4.8512858300000001</v>
      </c>
      <c r="E11" s="6">
        <v>1.40530303</v>
      </c>
      <c r="F11" s="6">
        <v>4.8523489929999997</v>
      </c>
      <c r="H11" s="7">
        <f t="shared" ref="H11:I11" si="7">E11-B11</f>
        <v>-1.2037845999999908E-2</v>
      </c>
      <c r="I11" s="7">
        <f t="shared" si="7"/>
        <v>1.063162999999534E-3</v>
      </c>
    </row>
    <row r="12" spans="1:9" ht="15.75" customHeight="1">
      <c r="B12" s="5">
        <v>1.4750249559999999</v>
      </c>
      <c r="C12" s="5">
        <v>3.4928934730000001</v>
      </c>
      <c r="E12" s="6">
        <v>1.476325758</v>
      </c>
      <c r="F12" s="6">
        <v>3.5033557050000002</v>
      </c>
      <c r="H12" s="7">
        <f t="shared" ref="H12:I12" si="8">E12-B10</f>
        <v>0.12250629699999993</v>
      </c>
      <c r="I12" s="7">
        <f t="shared" si="8"/>
        <v>-4.378519086999999</v>
      </c>
    </row>
    <row r="13" spans="1:9" ht="15.75" customHeight="1">
      <c r="B13" s="5"/>
      <c r="C13" s="5"/>
      <c r="E13" s="6"/>
      <c r="F13" s="6"/>
      <c r="H13" s="7"/>
      <c r="I13" s="7"/>
    </row>
    <row r="14" spans="1:9" ht="15.75" customHeight="1">
      <c r="A14" s="4" t="s">
        <v>12</v>
      </c>
      <c r="B14" s="5">
        <v>1.0723677330000001</v>
      </c>
      <c r="C14" s="5">
        <v>11.32901554</v>
      </c>
      <c r="E14" s="6">
        <v>1.023674242</v>
      </c>
      <c r="F14" s="6">
        <v>11.47651007</v>
      </c>
      <c r="H14" s="7">
        <f t="shared" ref="H14:I14" si="9">E14-B16</f>
        <v>-0.36678542399999992</v>
      </c>
      <c r="I14" s="7">
        <f t="shared" si="9"/>
        <v>7.4458498049999999</v>
      </c>
    </row>
    <row r="15" spans="1:9" ht="15.75" customHeight="1">
      <c r="B15" s="5">
        <v>1.292964776</v>
      </c>
      <c r="C15" s="5">
        <v>9.1127061840000003</v>
      </c>
      <c r="E15" s="6">
        <v>1.268939394</v>
      </c>
      <c r="F15" s="6">
        <v>9.2416107380000003</v>
      </c>
      <c r="H15" s="7">
        <f t="shared" ref="H15:I15" si="10">E15-B15</f>
        <v>-2.402538200000004E-2</v>
      </c>
      <c r="I15" s="7">
        <f t="shared" si="10"/>
        <v>0.128904554</v>
      </c>
    </row>
    <row r="16" spans="1:9" ht="15.75" customHeight="1">
      <c r="B16" s="5">
        <v>1.3904596659999999</v>
      </c>
      <c r="C16" s="5">
        <v>4.0306602649999999</v>
      </c>
      <c r="E16" s="6">
        <v>1.3787878790000001</v>
      </c>
      <c r="F16" s="6">
        <v>4.0067114090000002</v>
      </c>
      <c r="H16" s="7">
        <f t="shared" ref="H16:I16" si="11">E16-B14</f>
        <v>0.306420146</v>
      </c>
      <c r="I16" s="7">
        <f t="shared" si="11"/>
        <v>-7.3223041310000001</v>
      </c>
    </row>
    <row r="17" spans="8:10" ht="15.75" customHeight="1">
      <c r="H17" s="7"/>
      <c r="I17" s="7"/>
    </row>
    <row r="18" spans="8:10" ht="15.75" customHeight="1">
      <c r="H18" s="8">
        <f t="shared" ref="H18:I18" si="12">AVERAGE(H2:H16)</f>
        <v>-2.0318874916666674E-2</v>
      </c>
      <c r="I18" s="8">
        <f t="shared" si="12"/>
        <v>6.1158105583333379E-2</v>
      </c>
      <c r="J18" s="9" t="s">
        <v>6</v>
      </c>
    </row>
    <row r="19" spans="8:10" ht="15.75" customHeight="1">
      <c r="H19" s="8">
        <f t="shared" ref="H19:I19" si="13">MEDIAN(H2:H16)</f>
        <v>-1.454631400000006E-2</v>
      </c>
      <c r="I19" s="8">
        <f t="shared" si="13"/>
        <v>4.638336150000022E-2</v>
      </c>
      <c r="J19" s="9" t="s">
        <v>7</v>
      </c>
    </row>
    <row r="20" spans="8:10" ht="15.75" customHeight="1">
      <c r="H20" s="8">
        <f t="shared" ref="H20:I20" si="14">MAX(H2:H19)</f>
        <v>0.306420146</v>
      </c>
      <c r="I20" s="8">
        <f t="shared" si="14"/>
        <v>7.4458498049999999</v>
      </c>
      <c r="J20" s="9" t="s">
        <v>8</v>
      </c>
    </row>
    <row r="21" spans="8:10" ht="15.75" customHeight="1"/>
    <row r="22" spans="8:10" ht="15.75" customHeight="1"/>
    <row r="23" spans="8:10" ht="15.75" customHeight="1"/>
    <row r="24" spans="8:10" ht="15.75" customHeight="1"/>
    <row r="25" spans="8:10" ht="15.75" customHeight="1"/>
    <row r="26" spans="8:10" ht="15.75" customHeight="1"/>
    <row r="27" spans="8:10" ht="15.75" customHeight="1"/>
    <row r="28" spans="8:10" ht="15.75" customHeight="1"/>
    <row r="29" spans="8:10" ht="15.75" customHeight="1"/>
    <row r="30" spans="8:10" ht="15.75" customHeight="1"/>
    <row r="31" spans="8:10" ht="15.75" customHeight="1"/>
    <row r="32" spans="8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defaultColWidth="11.25" defaultRowHeight="15" customHeight="1"/>
  <cols>
    <col min="1" max="26" width="10.5" customWidth="1"/>
  </cols>
  <sheetData>
    <row r="1" spans="1:9" ht="15.75" customHeight="1">
      <c r="B1" s="1" t="s">
        <v>0</v>
      </c>
      <c r="C1" s="1"/>
      <c r="E1" s="2" t="s">
        <v>1</v>
      </c>
      <c r="F1" s="2"/>
      <c r="H1" s="3" t="s">
        <v>3</v>
      </c>
      <c r="I1" s="3"/>
    </row>
    <row r="2" spans="1:9" ht="15.75" customHeight="1">
      <c r="A2" s="4" t="s">
        <v>5</v>
      </c>
      <c r="B2" s="5">
        <v>7.3050336769999999</v>
      </c>
      <c r="C2" s="5">
        <v>1.389002037</v>
      </c>
      <c r="E2" s="6">
        <v>7.3155080210000003</v>
      </c>
      <c r="F2" s="6">
        <v>1.3825242719999999</v>
      </c>
      <c r="H2" s="7">
        <f t="shared" ref="H2:I2" si="0">E2-B2</f>
        <v>1.0474344000000357E-2</v>
      </c>
      <c r="I2" s="7">
        <f t="shared" si="0"/>
        <v>-6.4777650000000797E-3</v>
      </c>
    </row>
    <row r="3" spans="1:9" ht="15.75" customHeight="1">
      <c r="B3" s="5">
        <v>7.003821598</v>
      </c>
      <c r="C3" s="5">
        <v>1.49490835</v>
      </c>
      <c r="E3" s="6">
        <v>7.0017825309999999</v>
      </c>
      <c r="F3" s="6">
        <v>1.5106796119999999</v>
      </c>
      <c r="H3" s="7">
        <f t="shared" ref="H3:I3" si="1">E3-B3</f>
        <v>-2.0390670000001165E-3</v>
      </c>
      <c r="I3" s="7">
        <f t="shared" si="1"/>
        <v>1.5771261999999897E-2</v>
      </c>
    </row>
    <row r="4" spans="1:9" ht="15.75" customHeight="1">
      <c r="B4" s="5">
        <v>5.264437783</v>
      </c>
      <c r="C4" s="5">
        <v>0.59877800410000004</v>
      </c>
      <c r="E4" s="6">
        <v>5.2049910869999998</v>
      </c>
      <c r="F4" s="6">
        <v>0.60194174759999997</v>
      </c>
      <c r="H4" s="7">
        <f t="shared" ref="H4:I4" si="2">E4-B4</f>
        <v>-5.9446696000000188E-2</v>
      </c>
      <c r="I4" s="7">
        <f t="shared" si="2"/>
        <v>3.163743499999927E-3</v>
      </c>
    </row>
    <row r="5" spans="1:9" ht="15.75" customHeight="1">
      <c r="B5" s="5">
        <v>4.4015042299999996</v>
      </c>
      <c r="C5" s="5">
        <v>0.199592668</v>
      </c>
      <c r="E5" s="6">
        <v>4.4064171119999997</v>
      </c>
      <c r="F5" s="6">
        <v>0.1941747573</v>
      </c>
      <c r="H5" s="7">
        <f t="shared" ref="H5:I5" si="3">E5-B5</f>
        <v>4.9128820000001738E-3</v>
      </c>
      <c r="I5" s="7">
        <f t="shared" si="3"/>
        <v>-5.4179107000000004E-3</v>
      </c>
    </row>
    <row r="6" spans="1:9" ht="15.75" customHeight="1">
      <c r="B6" s="5">
        <v>2.7102679699999999</v>
      </c>
      <c r="C6" s="5">
        <v>8.9613034620000004E-2</v>
      </c>
      <c r="E6" s="6">
        <v>2.5953654190000002</v>
      </c>
      <c r="F6" s="6">
        <v>8.5436893200000003E-2</v>
      </c>
      <c r="H6" s="7">
        <f t="shared" ref="H6:I6" si="4">E6-B6</f>
        <v>-0.11490255099999969</v>
      </c>
      <c r="I6" s="7">
        <f t="shared" si="4"/>
        <v>-4.1761414200000013E-3</v>
      </c>
    </row>
    <row r="7" spans="1:9" ht="15.75" customHeight="1">
      <c r="B7" s="5">
        <v>1.2878403009999999</v>
      </c>
      <c r="C7" s="5">
        <v>3.6659877799999997E-2</v>
      </c>
      <c r="E7" s="6">
        <v>1.297682709</v>
      </c>
      <c r="F7" s="6">
        <v>3.4951456309999997E-2</v>
      </c>
      <c r="H7" s="7">
        <f t="shared" ref="H7:I7" si="5">E7-B7</f>
        <v>9.8424080000001357E-3</v>
      </c>
      <c r="I7" s="7">
        <f t="shared" si="5"/>
        <v>-1.7084214900000005E-3</v>
      </c>
    </row>
    <row r="8" spans="1:9" ht="15.75" customHeight="1">
      <c r="B8" s="5">
        <v>0.88377308409999999</v>
      </c>
      <c r="C8" s="5">
        <v>8.1466395109999999E-3</v>
      </c>
      <c r="E8" s="6">
        <v>0.82709447420000004</v>
      </c>
      <c r="F8" s="6">
        <v>1.165048544E-2</v>
      </c>
      <c r="H8" s="7">
        <f t="shared" ref="H8:I8" si="6">E8-B8</f>
        <v>-5.6678609899999954E-2</v>
      </c>
      <c r="I8" s="7">
        <f t="shared" si="6"/>
        <v>3.5038459290000004E-3</v>
      </c>
    </row>
    <row r="9" spans="1:9" ht="15.75" customHeight="1">
      <c r="B9" s="5"/>
      <c r="C9" s="5"/>
      <c r="E9" s="6"/>
      <c r="F9" s="6"/>
      <c r="H9" s="7"/>
      <c r="I9" s="7"/>
    </row>
    <row r="10" spans="1:9" ht="15.75" customHeight="1">
      <c r="A10" s="4" t="s">
        <v>13</v>
      </c>
      <c r="B10" s="5">
        <v>0.4142581447</v>
      </c>
      <c r="C10" s="5">
        <v>1.3482688389999999</v>
      </c>
      <c r="E10" s="6">
        <v>0.38502673799999998</v>
      </c>
      <c r="F10" s="6">
        <v>1.374757282</v>
      </c>
      <c r="H10" s="7">
        <f t="shared" ref="H10:I10" si="7">E10-B10</f>
        <v>-2.9231406700000018E-2</v>
      </c>
      <c r="I10" s="7">
        <f t="shared" si="7"/>
        <v>2.6488443000000084E-2</v>
      </c>
    </row>
    <row r="11" spans="1:9" ht="15.75" customHeight="1">
      <c r="B11" s="5">
        <v>0.74171033659999996</v>
      </c>
      <c r="C11" s="5">
        <v>1.490835031</v>
      </c>
      <c r="E11" s="6">
        <v>0.69875222820000005</v>
      </c>
      <c r="F11" s="6">
        <v>1.5067961169999999</v>
      </c>
      <c r="H11" s="7">
        <f t="shared" ref="H11:I11" si="8">E11-B11</f>
        <v>-4.2958108399999917E-2</v>
      </c>
      <c r="I11" s="7">
        <f t="shared" si="8"/>
        <v>1.5961085999999902E-2</v>
      </c>
    </row>
    <row r="12" spans="1:9" ht="15.75" customHeight="1">
      <c r="B12" s="5">
        <v>1.144709642</v>
      </c>
      <c r="C12" s="5">
        <v>0.59063136459999999</v>
      </c>
      <c r="E12" s="6">
        <v>1.0980392160000001</v>
      </c>
      <c r="F12" s="6">
        <v>0.58640776699999997</v>
      </c>
      <c r="H12" s="7">
        <f t="shared" ref="H12:I12" si="9">E12-B12</f>
        <v>-4.6670425999999932E-2</v>
      </c>
      <c r="I12" s="7">
        <f t="shared" si="9"/>
        <v>-4.2235976000000175E-3</v>
      </c>
    </row>
    <row r="13" spans="1:9" ht="15.75" customHeight="1">
      <c r="B13" s="5">
        <v>2.7239067260000001</v>
      </c>
      <c r="C13" s="5">
        <v>0.1792260692</v>
      </c>
      <c r="E13" s="6">
        <v>2.7950089130000002</v>
      </c>
      <c r="F13" s="6">
        <v>0.186407767</v>
      </c>
      <c r="H13" s="7">
        <f t="shared" ref="H13:I13" si="10">E13-B13</f>
        <v>7.110218700000015E-2</v>
      </c>
      <c r="I13" s="7">
        <f t="shared" si="10"/>
        <v>7.1816977999999976E-3</v>
      </c>
    </row>
    <row r="14" spans="1:9" ht="15.75" customHeight="1">
      <c r="B14" s="5">
        <v>5.4523291909999996</v>
      </c>
      <c r="C14" s="5">
        <v>5.7026476579999999E-2</v>
      </c>
      <c r="E14" s="6">
        <v>5.3333333329999997</v>
      </c>
      <c r="F14" s="6">
        <v>7.7669902910000005E-2</v>
      </c>
      <c r="H14" s="7">
        <f t="shared" ref="H14:I14" si="11">E14-B14</f>
        <v>-0.1189958579999999</v>
      </c>
      <c r="I14" s="7">
        <f t="shared" si="11"/>
        <v>2.0643426330000006E-2</v>
      </c>
    </row>
    <row r="15" spans="1:9" ht="15.75" customHeight="1">
      <c r="B15" s="5">
        <v>6.022227816</v>
      </c>
      <c r="C15" s="5">
        <v>1.6293279019999999E-2</v>
      </c>
      <c r="E15" s="6">
        <v>5.9893048130000004</v>
      </c>
      <c r="F15" s="6">
        <v>3.1067961169999998E-2</v>
      </c>
      <c r="H15" s="7">
        <f t="shared" ref="H15:I15" si="12">E15-B15</f>
        <v>-3.2923002999999618E-2</v>
      </c>
      <c r="I15" s="7">
        <f t="shared" si="12"/>
        <v>1.4774682149999999E-2</v>
      </c>
    </row>
    <row r="16" spans="1:9" ht="15.75" customHeight="1">
      <c r="B16" s="5">
        <v>7.6703509619999997</v>
      </c>
      <c r="C16" s="5">
        <v>4.0733197560000002E-3</v>
      </c>
      <c r="E16" s="6">
        <v>7.6149732620000004</v>
      </c>
      <c r="F16" s="6">
        <v>7.7669902909999998E-3</v>
      </c>
      <c r="H16" s="7">
        <f t="shared" ref="H16:I16" si="13">E16-B16</f>
        <v>-5.5377699999999308E-2</v>
      </c>
      <c r="I16" s="7">
        <f t="shared" si="13"/>
        <v>3.6936705349999996E-3</v>
      </c>
    </row>
    <row r="17" spans="2:10" ht="15.75" customHeight="1">
      <c r="B17" s="5"/>
      <c r="C17" s="5"/>
      <c r="E17" s="6"/>
      <c r="F17" s="6"/>
      <c r="H17" s="7"/>
      <c r="I17" s="7"/>
    </row>
    <row r="18" spans="2:10" ht="15.75" customHeight="1">
      <c r="B18" s="5"/>
      <c r="C18" s="5"/>
      <c r="E18" s="6"/>
      <c r="F18" s="6"/>
      <c r="H18" s="7"/>
      <c r="I18" s="7"/>
    </row>
    <row r="19" spans="2:10" ht="15.75" customHeight="1">
      <c r="B19" s="5"/>
      <c r="C19" s="5"/>
      <c r="E19" s="6"/>
      <c r="F19" s="6"/>
      <c r="H19" s="7"/>
      <c r="I19" s="7"/>
    </row>
    <row r="20" spans="2:10" ht="15.75" customHeight="1">
      <c r="B20" s="5"/>
      <c r="C20" s="5"/>
      <c r="E20" s="6"/>
      <c r="F20" s="6"/>
      <c r="H20" s="7"/>
      <c r="I20" s="7"/>
    </row>
    <row r="21" spans="2:10" ht="15.75" customHeight="1">
      <c r="H21" s="7"/>
      <c r="I21" s="7"/>
    </row>
    <row r="22" spans="2:10" ht="15.75" customHeight="1">
      <c r="H22" s="8">
        <f t="shared" ref="H22:I22" si="14">AVERAGE(H2:H20)</f>
        <v>-3.3063686071428414E-2</v>
      </c>
      <c r="I22" s="8">
        <f t="shared" si="14"/>
        <v>6.3698586452856937E-3</v>
      </c>
      <c r="J22" s="9" t="s">
        <v>6</v>
      </c>
    </row>
    <row r="23" spans="2:10" ht="15.75" customHeight="1">
      <c r="H23" s="8">
        <f t="shared" ref="H23:I23" si="15">MEDIAN(H2:H20)</f>
        <v>-3.7940555699999767E-2</v>
      </c>
      <c r="I23" s="8">
        <f t="shared" si="15"/>
        <v>3.598758232E-3</v>
      </c>
      <c r="J23" s="9" t="s">
        <v>7</v>
      </c>
    </row>
    <row r="24" spans="2:10" ht="15.75" customHeight="1">
      <c r="H24" s="8">
        <f t="shared" ref="H24:I24" si="16">MAX(H2:H23)</f>
        <v>7.110218700000015E-2</v>
      </c>
      <c r="I24" s="8">
        <f t="shared" si="16"/>
        <v>2.6488443000000084E-2</v>
      </c>
      <c r="J24" s="9" t="s">
        <v>8</v>
      </c>
    </row>
    <row r="25" spans="2:10" ht="15.75" customHeight="1"/>
    <row r="26" spans="2:10" ht="15.75" customHeight="1"/>
    <row r="27" spans="2:10" ht="15.75" customHeight="1"/>
    <row r="28" spans="2:10" ht="15.75" customHeight="1"/>
    <row r="29" spans="2:10" ht="15.75" customHeight="1"/>
    <row r="30" spans="2:10" ht="15.75" customHeight="1"/>
    <row r="31" spans="2:10" ht="15.75" customHeight="1"/>
    <row r="32" spans="2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/>
  </sheetViews>
  <sheetFormatPr defaultColWidth="11.25" defaultRowHeight="15" customHeight="1"/>
  <cols>
    <col min="1" max="26" width="10.5" customWidth="1"/>
  </cols>
  <sheetData>
    <row r="1" spans="1:9" ht="15.75" customHeight="1">
      <c r="B1" s="1" t="s">
        <v>0</v>
      </c>
      <c r="C1" s="1"/>
      <c r="E1" s="2" t="s">
        <v>1</v>
      </c>
      <c r="F1" s="2"/>
      <c r="H1" s="3" t="s">
        <v>3</v>
      </c>
      <c r="I1" s="3"/>
    </row>
    <row r="2" spans="1:9" ht="15.75" customHeight="1">
      <c r="A2" s="4" t="s">
        <v>14</v>
      </c>
      <c r="B2" s="5">
        <v>521.80511179999996</v>
      </c>
      <c r="C2" s="5">
        <v>5.4050105200000003</v>
      </c>
      <c r="E2" s="6">
        <v>500.33707870000001</v>
      </c>
      <c r="F2" s="6">
        <v>6.422018349</v>
      </c>
      <c r="H2" s="7">
        <f t="shared" ref="H2:I2" si="0">E2-B2</f>
        <v>-21.468033099999957</v>
      </c>
      <c r="I2" s="7">
        <f t="shared" si="0"/>
        <v>1.0170078289999998</v>
      </c>
    </row>
    <row r="3" spans="1:9" ht="15.75" customHeight="1">
      <c r="B3" s="5">
        <v>547.52396169999997</v>
      </c>
      <c r="C3" s="5">
        <v>9.0187407470000007</v>
      </c>
      <c r="E3" s="6">
        <v>528.20224719999999</v>
      </c>
      <c r="F3" s="6">
        <v>9.4801223239999999</v>
      </c>
      <c r="H3" s="7">
        <f t="shared" ref="H3:I3" si="1">E3-B3</f>
        <v>-19.321714499999985</v>
      </c>
      <c r="I3" s="7">
        <f t="shared" si="1"/>
        <v>0.46138157699999915</v>
      </c>
    </row>
    <row r="4" spans="1:9" ht="15.75" customHeight="1">
      <c r="B4" s="5">
        <v>571.00638979999997</v>
      </c>
      <c r="C4" s="5">
        <v>14.872139539999999</v>
      </c>
      <c r="E4" s="6">
        <v>554.26966289999996</v>
      </c>
      <c r="F4" s="6">
        <v>15.59633028</v>
      </c>
      <c r="H4" s="7">
        <f t="shared" ref="H4:I4" si="2">E4-B4</f>
        <v>-16.736726900000008</v>
      </c>
      <c r="I4" s="7">
        <f t="shared" si="2"/>
        <v>0.72419074000000094</v>
      </c>
    </row>
    <row r="5" spans="1:9" ht="15.75" customHeight="1">
      <c r="B5" s="5">
        <v>596.16613419999999</v>
      </c>
      <c r="C5" s="5">
        <v>22.755136499999999</v>
      </c>
      <c r="E5" s="6">
        <v>581.23595509999996</v>
      </c>
      <c r="F5" s="6">
        <v>23.54740061</v>
      </c>
      <c r="H5" s="7">
        <f t="shared" ref="H5:I5" si="3">E5-B5</f>
        <v>-14.930179100000032</v>
      </c>
      <c r="I5" s="7">
        <f t="shared" si="3"/>
        <v>0.79226411000000141</v>
      </c>
    </row>
    <row r="6" spans="1:9" ht="15.75" customHeight="1">
      <c r="B6" s="5">
        <v>621.32587860000001</v>
      </c>
      <c r="C6" s="5">
        <v>36.125938339999998</v>
      </c>
      <c r="E6" s="6">
        <v>608.20224719999999</v>
      </c>
      <c r="F6" s="6">
        <v>37.003058099999997</v>
      </c>
      <c r="H6" s="7">
        <f t="shared" ref="H6:I6" si="4">E6-B6</f>
        <v>-13.123631400000022</v>
      </c>
      <c r="I6" s="7">
        <f t="shared" si="4"/>
        <v>0.87711975999999936</v>
      </c>
    </row>
    <row r="7" spans="1:9" ht="15.75" customHeight="1">
      <c r="B7" s="5">
        <v>648.16293929999995</v>
      </c>
      <c r="C7" s="5">
        <v>53.965362740000003</v>
      </c>
      <c r="E7" s="6">
        <v>633.37078650000001</v>
      </c>
      <c r="F7" s="6">
        <v>54.12844037</v>
      </c>
      <c r="H7" s="7">
        <f t="shared" ref="H7:I7" si="5">E7-B7</f>
        <v>-14.79215279999994</v>
      </c>
      <c r="I7" s="7">
        <f t="shared" si="5"/>
        <v>0.16307762999999653</v>
      </c>
    </row>
    <row r="8" spans="1:9" ht="15.75" customHeight="1">
      <c r="B8" s="5">
        <v>672.76357829999995</v>
      </c>
      <c r="C8" s="5">
        <v>76.280228059999999</v>
      </c>
      <c r="E8" s="6">
        <v>661.23595509999996</v>
      </c>
      <c r="F8" s="6">
        <v>76.452599390000003</v>
      </c>
      <c r="H8" s="7">
        <f t="shared" ref="H8:I8" si="6">E8-B8</f>
        <v>-11.527623199999994</v>
      </c>
      <c r="I8" s="7">
        <f t="shared" si="6"/>
        <v>0.17237133000000426</v>
      </c>
    </row>
    <row r="9" spans="1:9" ht="15.75" customHeight="1">
      <c r="B9" s="5">
        <v>697.92332269999997</v>
      </c>
      <c r="C9" s="5">
        <v>95.138834770000003</v>
      </c>
      <c r="E9" s="6">
        <v>689.10112360000005</v>
      </c>
      <c r="F9" s="6">
        <v>95.718654430000001</v>
      </c>
      <c r="H9" s="7">
        <f t="shared" ref="H9:I9" si="7">E9-B9</f>
        <v>-8.8221990999999207</v>
      </c>
      <c r="I9" s="7">
        <f t="shared" si="7"/>
        <v>0.57981965999999829</v>
      </c>
    </row>
    <row r="10" spans="1:9" ht="15.75" customHeight="1">
      <c r="B10" s="5"/>
      <c r="C10" s="5"/>
      <c r="E10" s="6"/>
      <c r="F10" s="6"/>
      <c r="H10" s="7"/>
      <c r="I10" s="7"/>
    </row>
    <row r="11" spans="1:9" ht="15.75" customHeight="1">
      <c r="A11" s="4" t="s">
        <v>15</v>
      </c>
      <c r="B11" s="5">
        <v>697.92332269999997</v>
      </c>
      <c r="C11" s="5">
        <v>-0.59287254209999996</v>
      </c>
      <c r="E11" s="6">
        <v>687.30337080000004</v>
      </c>
      <c r="F11" s="6">
        <v>0.6116207951</v>
      </c>
      <c r="H11" s="7">
        <f t="shared" ref="H11:I11" si="8">E11-B11</f>
        <v>-10.619951899999933</v>
      </c>
      <c r="I11" s="7">
        <f t="shared" si="8"/>
        <v>1.2044933372</v>
      </c>
    </row>
    <row r="12" spans="1:9" ht="15.75" customHeight="1">
      <c r="B12" s="5">
        <v>723.08306709999999</v>
      </c>
      <c r="C12" s="5">
        <v>-0.43345281699999999</v>
      </c>
      <c r="E12" s="6">
        <v>715.16853930000002</v>
      </c>
      <c r="F12" s="6">
        <v>0.30581039760000001</v>
      </c>
      <c r="H12" s="7">
        <f t="shared" ref="H12:I12" si="9">E12-B12</f>
        <v>-7.9145277999999735</v>
      </c>
      <c r="I12" s="7">
        <f t="shared" si="9"/>
        <v>0.7392632146</v>
      </c>
    </row>
    <row r="13" spans="1:9" ht="15.75" customHeight="1">
      <c r="B13" s="5">
        <v>747.12460060000001</v>
      </c>
      <c r="C13" s="5">
        <v>-0.27208498920000002</v>
      </c>
      <c r="E13" s="6">
        <v>740.33707870000001</v>
      </c>
      <c r="F13" s="6">
        <v>0.91743119269999995</v>
      </c>
      <c r="H13" s="7">
        <f t="shared" ref="H13:I13" si="10">E13-B13</f>
        <v>-6.7875219000000016</v>
      </c>
      <c r="I13" s="7">
        <f t="shared" si="10"/>
        <v>1.1895161819</v>
      </c>
    </row>
    <row r="14" spans="1:9" ht="15.75" customHeight="1">
      <c r="B14" s="5">
        <v>773.40255590000004</v>
      </c>
      <c r="C14" s="5">
        <v>-0.1146133666</v>
      </c>
      <c r="E14" s="6">
        <v>767.30337080000004</v>
      </c>
      <c r="F14" s="6">
        <v>1.8348623850000001</v>
      </c>
      <c r="H14" s="7">
        <f t="shared" ref="H14:I14" si="11">E14-B14</f>
        <v>-6.0991850999999997</v>
      </c>
      <c r="I14" s="7">
        <f t="shared" si="11"/>
        <v>1.9494757516000001</v>
      </c>
    </row>
    <row r="15" spans="1:9" ht="15.75" customHeight="1">
      <c r="B15" s="5">
        <v>797.44408950000002</v>
      </c>
      <c r="C15" s="5">
        <v>1.469518689</v>
      </c>
      <c r="E15" s="6">
        <v>795.16853930000002</v>
      </c>
      <c r="F15" s="6">
        <v>2.44648318</v>
      </c>
      <c r="H15" s="7">
        <f t="shared" ref="H15:I15" si="12">E15-B15</f>
        <v>-2.2755501999999979</v>
      </c>
      <c r="I15" s="7">
        <f t="shared" si="12"/>
        <v>0.97696449099999993</v>
      </c>
    </row>
    <row r="16" spans="1:9" ht="15.75" customHeight="1">
      <c r="B16" s="5">
        <v>824.28115019999996</v>
      </c>
      <c r="C16" s="5">
        <v>4.4715447150000003</v>
      </c>
      <c r="E16" s="6">
        <v>821.23595509999996</v>
      </c>
      <c r="F16" s="6">
        <v>5.5045871560000004</v>
      </c>
      <c r="H16" s="7">
        <f t="shared" ref="H16:I16" si="13">E16-B16</f>
        <v>-3.0451951000000008</v>
      </c>
      <c r="I16" s="7">
        <f t="shared" si="13"/>
        <v>1.0330424410000001</v>
      </c>
    </row>
    <row r="17" spans="1:9" ht="15.75" customHeight="1">
      <c r="B17" s="5"/>
      <c r="C17" s="5"/>
      <c r="E17" s="6"/>
      <c r="F17" s="6"/>
      <c r="H17" s="7"/>
      <c r="I17" s="7"/>
    </row>
    <row r="18" spans="1:9" ht="15.75" customHeight="1">
      <c r="A18" s="4" t="s">
        <v>16</v>
      </c>
      <c r="B18" s="5">
        <v>496.6453674</v>
      </c>
      <c r="C18" s="5">
        <v>2.4000623390000002</v>
      </c>
      <c r="E18" s="6">
        <v>473.37078650000001</v>
      </c>
      <c r="F18" s="6">
        <v>2.44648318</v>
      </c>
      <c r="H18" s="7">
        <f t="shared" ref="H18:I18" si="14">E18-B18</f>
        <v>-23.274580899999989</v>
      </c>
      <c r="I18" s="7">
        <f t="shared" si="14"/>
        <v>4.6420840999999768E-2</v>
      </c>
    </row>
    <row r="19" spans="1:9" ht="15.75" customHeight="1">
      <c r="B19" s="5">
        <v>521.80511179999996</v>
      </c>
      <c r="C19" s="5">
        <v>6.0147666170000003</v>
      </c>
      <c r="E19" s="6">
        <v>500.33707870000001</v>
      </c>
      <c r="F19" s="6">
        <v>6.422018349</v>
      </c>
      <c r="H19" s="7">
        <f t="shared" ref="H19:I19" si="15">E19-B19</f>
        <v>-21.468033099999957</v>
      </c>
      <c r="I19" s="7">
        <f t="shared" si="15"/>
        <v>0.40725173199999976</v>
      </c>
    </row>
    <row r="20" spans="1:9" ht="15.75" customHeight="1">
      <c r="B20" s="5">
        <v>547.52396169999997</v>
      </c>
      <c r="C20" s="5">
        <v>13.490285460000001</v>
      </c>
      <c r="E20" s="6">
        <v>527.30337080000004</v>
      </c>
      <c r="F20" s="6">
        <v>14.678899080000001</v>
      </c>
      <c r="H20" s="7">
        <f t="shared" ref="H20:I20" si="16">E20-B20</f>
        <v>-20.220590899999934</v>
      </c>
      <c r="I20" s="7">
        <f t="shared" si="16"/>
        <v>1.1886136199999999</v>
      </c>
    </row>
    <row r="21" spans="1:9" ht="15.75" customHeight="1">
      <c r="B21" s="5">
        <v>571.00638979999997</v>
      </c>
      <c r="C21" s="5">
        <v>26.864009450000001</v>
      </c>
      <c r="E21" s="6">
        <v>554.26966289999996</v>
      </c>
      <c r="F21" s="6">
        <v>28.134556570000001</v>
      </c>
      <c r="H21" s="7">
        <f t="shared" ref="H21:I21" si="17">E21-B21</f>
        <v>-16.736726900000008</v>
      </c>
      <c r="I21" s="7">
        <f t="shared" si="17"/>
        <v>1.2705471199999998</v>
      </c>
    </row>
    <row r="22" spans="1:9" ht="15.75" customHeight="1">
      <c r="B22" s="5">
        <v>597.28434500000003</v>
      </c>
      <c r="C22" s="5">
        <v>47.143432300000001</v>
      </c>
      <c r="E22" s="6">
        <v>580.33707870000001</v>
      </c>
      <c r="F22" s="6">
        <v>47.706422019999998</v>
      </c>
      <c r="H22" s="7">
        <f t="shared" ref="H22:I22" si="18">E22-B22</f>
        <v>-16.947266300000024</v>
      </c>
      <c r="I22" s="7">
        <f t="shared" si="18"/>
        <v>0.56298971999999736</v>
      </c>
    </row>
    <row r="23" spans="1:9" ht="15.75" customHeight="1">
      <c r="B23" s="5">
        <v>623.00319490000004</v>
      </c>
      <c r="C23" s="5">
        <v>70.879113739999994</v>
      </c>
      <c r="E23" s="6">
        <v>608.20224719999999</v>
      </c>
      <c r="F23" s="6">
        <v>71.559633030000001</v>
      </c>
      <c r="H23" s="7">
        <f t="shared" ref="H23:I23" si="19">E23-B23</f>
        <v>-14.800947700000052</v>
      </c>
      <c r="I23" s="7">
        <f t="shared" si="19"/>
        <v>0.68051929000000655</v>
      </c>
    </row>
    <row r="24" spans="1:9" ht="15.75" customHeight="1">
      <c r="B24" s="5">
        <v>647.60383390000004</v>
      </c>
      <c r="C24" s="5">
        <v>91.974466870000001</v>
      </c>
      <c r="E24" s="6">
        <v>634.26966289999996</v>
      </c>
      <c r="F24" s="6">
        <v>93.27217125</v>
      </c>
      <c r="H24" s="7">
        <f t="shared" ref="H24:I24" si="20">E24-B24</f>
        <v>-13.334171000000083</v>
      </c>
      <c r="I24" s="7">
        <f t="shared" si="20"/>
        <v>1.297704379999999</v>
      </c>
    </row>
    <row r="25" spans="1:9" ht="15.75" customHeight="1">
      <c r="B25" s="5">
        <v>672.76357829999995</v>
      </c>
      <c r="C25" s="5">
        <v>99.654211799999999</v>
      </c>
      <c r="E25" s="6">
        <v>662.13483150000002</v>
      </c>
      <c r="F25" s="6">
        <v>100.3058104</v>
      </c>
      <c r="H25" s="7">
        <f t="shared" ref="H25:I25" si="21">E25-B25</f>
        <v>-10.628746799999931</v>
      </c>
      <c r="I25" s="7">
        <f t="shared" si="21"/>
        <v>0.65159859999999981</v>
      </c>
    </row>
    <row r="26" spans="1:9" ht="15.75" customHeight="1">
      <c r="B26" s="5"/>
      <c r="C26" s="5"/>
      <c r="E26" s="6"/>
      <c r="F26" s="6"/>
      <c r="H26" s="7"/>
      <c r="I26" s="7"/>
    </row>
    <row r="27" spans="1:9" ht="15.75" customHeight="1">
      <c r="A27" s="4" t="s">
        <v>17</v>
      </c>
      <c r="B27" s="5">
        <v>570.44728429999998</v>
      </c>
      <c r="C27" s="5">
        <v>5.320268059</v>
      </c>
      <c r="E27" s="6">
        <v>554.26966289999996</v>
      </c>
      <c r="F27" s="6">
        <v>6.422018349</v>
      </c>
      <c r="H27" s="7">
        <f t="shared" ref="H27:I27" si="22">E27-B27</f>
        <v>-16.177621400000021</v>
      </c>
      <c r="I27" s="7">
        <f t="shared" si="22"/>
        <v>1.10175029</v>
      </c>
    </row>
    <row r="28" spans="1:9" ht="15.75" customHeight="1">
      <c r="B28" s="5">
        <v>596.16613419999999</v>
      </c>
      <c r="C28" s="5">
        <v>16.251071459999999</v>
      </c>
      <c r="E28" s="6">
        <v>580.33707870000001</v>
      </c>
      <c r="F28" s="6">
        <v>17.431192660000001</v>
      </c>
      <c r="H28" s="7">
        <f t="shared" ref="H28:I28" si="23">E28-B28</f>
        <v>-15.829055499999981</v>
      </c>
      <c r="I28" s="7">
        <f t="shared" si="23"/>
        <v>1.1801212000000021</v>
      </c>
    </row>
    <row r="29" spans="1:9" ht="15.75" customHeight="1">
      <c r="B29" s="5">
        <v>623.00319490000004</v>
      </c>
      <c r="C29" s="5">
        <v>31.651471470000001</v>
      </c>
      <c r="E29" s="6">
        <v>607.30337080000004</v>
      </c>
      <c r="F29" s="6">
        <v>32.721712539999999</v>
      </c>
      <c r="H29" s="7">
        <f t="shared" ref="H29:I29" si="24">E29-B29</f>
        <v>-15.699824100000001</v>
      </c>
      <c r="I29" s="7">
        <f t="shared" si="24"/>
        <v>1.070241069999998</v>
      </c>
    </row>
    <row r="30" spans="1:9" ht="15.75" customHeight="1">
      <c r="B30" s="5">
        <v>646.48562300000003</v>
      </c>
      <c r="C30" s="5">
        <v>56.813813349999997</v>
      </c>
      <c r="E30" s="6">
        <v>635.16853930000002</v>
      </c>
      <c r="F30" s="6">
        <v>57.186544339999998</v>
      </c>
      <c r="H30" s="7">
        <f t="shared" ref="H30:I30" si="25">E30-B30</f>
        <v>-11.317083700000012</v>
      </c>
      <c r="I30" s="7">
        <f t="shared" si="25"/>
        <v>0.37273099000000087</v>
      </c>
    </row>
    <row r="31" spans="1:9" ht="15.75" customHeight="1">
      <c r="B31" s="5">
        <v>672.76357829999995</v>
      </c>
      <c r="C31" s="5">
        <v>83.800553260000001</v>
      </c>
      <c r="E31" s="6">
        <v>661.23595509999996</v>
      </c>
      <c r="F31" s="6">
        <v>84.403669719999996</v>
      </c>
      <c r="H31" s="7">
        <f t="shared" ref="H31:I31" si="26">E31-B31</f>
        <v>-11.527623199999994</v>
      </c>
      <c r="I31" s="7">
        <f t="shared" si="26"/>
        <v>0.60311645999999541</v>
      </c>
    </row>
    <row r="32" spans="1:9" ht="15.75" customHeight="1">
      <c r="B32" s="5">
        <v>697.92332269999997</v>
      </c>
      <c r="C32" s="5">
        <v>98.187615260000001</v>
      </c>
      <c r="E32" s="6">
        <v>688.20224719999999</v>
      </c>
      <c r="F32" s="6">
        <v>98.165137610000002</v>
      </c>
      <c r="H32" s="7">
        <f t="shared" ref="H32:I32" si="27">E32-B32</f>
        <v>-9.7210754999999835</v>
      </c>
      <c r="I32" s="7">
        <f t="shared" si="27"/>
        <v>-2.2477649999999016E-2</v>
      </c>
    </row>
    <row r="33" spans="1:10" ht="15.75" customHeight="1">
      <c r="B33" s="5"/>
      <c r="C33" s="5"/>
      <c r="E33" s="6"/>
      <c r="F33" s="6"/>
      <c r="H33" s="7"/>
      <c r="I33" s="7"/>
    </row>
    <row r="34" spans="1:10" ht="15.75" customHeight="1">
      <c r="A34" s="4" t="s">
        <v>18</v>
      </c>
      <c r="B34" s="5">
        <v>520.68690100000003</v>
      </c>
      <c r="C34" s="5">
        <v>-0.2840982883</v>
      </c>
      <c r="E34" s="6">
        <v>501.23595510000001</v>
      </c>
      <c r="F34" s="6">
        <v>0.6116207951</v>
      </c>
      <c r="H34" s="7">
        <f t="shared" ref="H34:I34" si="28">E34-B34</f>
        <v>-19.450945900000022</v>
      </c>
      <c r="I34" s="7">
        <f t="shared" si="28"/>
        <v>0.89571908339999995</v>
      </c>
    </row>
    <row r="35" spans="1:10" ht="15.75" customHeight="1">
      <c r="B35" s="5">
        <v>547.52396169999997</v>
      </c>
      <c r="C35" s="5">
        <v>7.5651315620000006E-2</v>
      </c>
      <c r="E35" s="6">
        <v>527.30337080000004</v>
      </c>
      <c r="F35" s="6">
        <v>0.30581039760000001</v>
      </c>
      <c r="H35" s="7">
        <f t="shared" ref="H35:I35" si="29">E35-B35</f>
        <v>-20.220590899999934</v>
      </c>
      <c r="I35" s="7">
        <f t="shared" si="29"/>
        <v>0.23015908198000001</v>
      </c>
    </row>
    <row r="36" spans="1:10" ht="15.75" customHeight="1">
      <c r="B36" s="5">
        <v>572.12460060000001</v>
      </c>
      <c r="C36" s="5">
        <v>0.64254915710000005</v>
      </c>
      <c r="E36" s="6">
        <v>554.26966289999996</v>
      </c>
      <c r="F36" s="6">
        <v>1.529051988</v>
      </c>
      <c r="H36" s="7">
        <f t="shared" ref="H36:I36" si="30">E36-B36</f>
        <v>-17.85493770000005</v>
      </c>
      <c r="I36" s="7">
        <f t="shared" si="30"/>
        <v>0.88650283089999993</v>
      </c>
    </row>
    <row r="37" spans="1:10" ht="15.75" customHeight="1">
      <c r="B37" s="5">
        <v>597.28434500000003</v>
      </c>
      <c r="C37" s="5">
        <v>2.4279851419999998</v>
      </c>
      <c r="E37" s="6">
        <v>581.23595509999996</v>
      </c>
      <c r="F37" s="6">
        <v>3.3639143730000001</v>
      </c>
      <c r="H37" s="7">
        <f t="shared" ref="H37:I37" si="31">E37-B37</f>
        <v>-16.048389900000075</v>
      </c>
      <c r="I37" s="7">
        <f t="shared" si="31"/>
        <v>0.93592923100000025</v>
      </c>
    </row>
    <row r="38" spans="1:10" ht="15.75" customHeight="1">
      <c r="B38" s="5">
        <v>623.00319490000004</v>
      </c>
      <c r="C38" s="5">
        <v>8.4807397590000004</v>
      </c>
      <c r="E38" s="6">
        <v>608.20224719999999</v>
      </c>
      <c r="F38" s="6">
        <v>9.1743119269999998</v>
      </c>
      <c r="H38" s="7">
        <f t="shared" ref="H38:I38" si="32">E38-B38</f>
        <v>-14.800947700000052</v>
      </c>
      <c r="I38" s="7">
        <f t="shared" si="32"/>
        <v>0.69357216799999932</v>
      </c>
    </row>
    <row r="39" spans="1:10" ht="15.75" customHeight="1">
      <c r="B39" s="5">
        <v>648.16293929999995</v>
      </c>
      <c r="C39" s="5">
        <v>22.258045660000001</v>
      </c>
      <c r="E39" s="6">
        <v>634.26966289999996</v>
      </c>
      <c r="F39" s="6">
        <v>22.93577982</v>
      </c>
      <c r="H39" s="7">
        <f t="shared" ref="H39:I39" si="33">E39-B39</f>
        <v>-13.893276399999991</v>
      </c>
      <c r="I39" s="7">
        <f t="shared" si="33"/>
        <v>0.67773415999999997</v>
      </c>
    </row>
    <row r="40" spans="1:10" ht="15.75" customHeight="1">
      <c r="B40" s="5">
        <v>673.88178909999999</v>
      </c>
      <c r="C40" s="5">
        <v>46.196979140000003</v>
      </c>
      <c r="E40" s="6">
        <v>662.13483150000002</v>
      </c>
      <c r="F40" s="6">
        <v>47.400611619999999</v>
      </c>
      <c r="H40" s="7">
        <f t="shared" ref="H40:I40" si="34">E40-B40</f>
        <v>-11.746957599999973</v>
      </c>
      <c r="I40" s="7">
        <f t="shared" si="34"/>
        <v>1.203632479999996</v>
      </c>
    </row>
    <row r="41" spans="1:10" ht="15.75" customHeight="1">
      <c r="B41" s="5">
        <v>697.92332269999997</v>
      </c>
      <c r="C41" s="5">
        <v>72.98436323</v>
      </c>
      <c r="E41" s="6">
        <v>688.20224719999999</v>
      </c>
      <c r="F41" s="6">
        <v>74.006116210000002</v>
      </c>
      <c r="H41" s="7">
        <f t="shared" ref="H41:I41" si="35">E41-B41</f>
        <v>-9.7210754999999835</v>
      </c>
      <c r="I41" s="7">
        <f t="shared" si="35"/>
        <v>1.0217529800000023</v>
      </c>
    </row>
    <row r="42" spans="1:10" ht="15.75" customHeight="1">
      <c r="B42" s="5">
        <v>721.96485619999999</v>
      </c>
      <c r="C42" s="5">
        <v>97.332722930000003</v>
      </c>
      <c r="E42" s="6">
        <v>715.16853930000002</v>
      </c>
      <c r="F42" s="6">
        <v>97.859327219999997</v>
      </c>
      <c r="H42" s="7">
        <f t="shared" ref="H42:I42" si="36">E42-B42</f>
        <v>-6.7963168999999652</v>
      </c>
      <c r="I42" s="7">
        <f t="shared" si="36"/>
        <v>0.52660428999999453</v>
      </c>
    </row>
    <row r="43" spans="1:10" ht="15.75" customHeight="1">
      <c r="B43" s="5">
        <v>748.80191690000004</v>
      </c>
      <c r="C43" s="5">
        <v>98.91198473</v>
      </c>
      <c r="E43" s="6">
        <v>742.13483150000002</v>
      </c>
      <c r="F43" s="6">
        <v>99.388379200000003</v>
      </c>
      <c r="H43" s="7">
        <f t="shared" ref="H43:I43" si="37">E43-B43</f>
        <v>-6.667085400000019</v>
      </c>
      <c r="I43" s="7">
        <f t="shared" si="37"/>
        <v>0.47639447000000246</v>
      </c>
    </row>
    <row r="44" spans="1:10" ht="15.75" customHeight="1">
      <c r="B44" s="5"/>
      <c r="C44" s="5"/>
      <c r="E44" s="6"/>
      <c r="F44" s="6"/>
      <c r="H44" s="7"/>
      <c r="I44" s="7"/>
    </row>
    <row r="45" spans="1:10" ht="15.75" customHeight="1">
      <c r="B45" s="5"/>
      <c r="C45" s="5"/>
      <c r="E45" s="6"/>
      <c r="F45" s="6"/>
      <c r="H45" s="7"/>
      <c r="I45" s="7"/>
    </row>
    <row r="46" spans="1:10" ht="15.75" customHeight="1">
      <c r="B46" s="5"/>
      <c r="C46" s="5"/>
      <c r="E46" s="6"/>
      <c r="F46" s="6"/>
      <c r="H46" s="7"/>
      <c r="I46" s="7"/>
    </row>
    <row r="47" spans="1:10" ht="15.75" customHeight="1">
      <c r="H47" s="7"/>
      <c r="I47" s="7"/>
    </row>
    <row r="48" spans="1:10" ht="15.75" customHeight="1">
      <c r="H48" s="8">
        <f t="shared" ref="H48:I48" si="38">AVERAGE(H2:H46)</f>
        <v>-13.48284376315789</v>
      </c>
      <c r="I48" s="8">
        <f t="shared" si="38"/>
        <v>0.78523990767315754</v>
      </c>
      <c r="J48" s="9" t="s">
        <v>6</v>
      </c>
    </row>
    <row r="49" spans="8:10" ht="15.75" customHeight="1">
      <c r="H49" s="8">
        <f t="shared" ref="H49:I49" si="39">MEDIAN(H2:H46)</f>
        <v>-14.342714599999965</v>
      </c>
      <c r="I49" s="8">
        <f t="shared" si="39"/>
        <v>0.7657636623000007</v>
      </c>
      <c r="J49" s="9" t="s">
        <v>7</v>
      </c>
    </row>
    <row r="50" spans="8:10" ht="15.75" customHeight="1">
      <c r="H50" s="8">
        <f t="shared" ref="H50:I50" si="40">MAX(H2:H49)</f>
        <v>-2.2755501999999979</v>
      </c>
      <c r="I50" s="8">
        <f t="shared" si="40"/>
        <v>1.9494757516000001</v>
      </c>
      <c r="J50" s="9" t="s">
        <v>8</v>
      </c>
    </row>
    <row r="51" spans="8:10" ht="15.75" customHeight="1"/>
    <row r="52" spans="8:10" ht="15.75" customHeight="1"/>
    <row r="53" spans="8:10" ht="15.75" customHeight="1"/>
    <row r="54" spans="8:10" ht="15.75" customHeight="1"/>
    <row r="55" spans="8:10" ht="15.75" customHeight="1"/>
    <row r="56" spans="8:10" ht="15.75" customHeight="1"/>
    <row r="57" spans="8:10" ht="15.75" customHeight="1"/>
    <row r="58" spans="8:10" ht="15.75" customHeight="1"/>
    <row r="59" spans="8:10" ht="15.75" customHeight="1"/>
    <row r="60" spans="8:10" ht="15.75" customHeight="1"/>
    <row r="61" spans="8:10" ht="15.75" customHeight="1"/>
    <row r="62" spans="8:10" ht="15.75" customHeight="1"/>
    <row r="63" spans="8:10" ht="15.75" customHeight="1"/>
    <row r="64" spans="8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/>
  </sheetViews>
  <sheetFormatPr defaultColWidth="11.25" defaultRowHeight="15" customHeight="1"/>
  <cols>
    <col min="1" max="26" width="10.5" customWidth="1"/>
  </cols>
  <sheetData>
    <row r="1" spans="1:9" ht="15.75" customHeight="1">
      <c r="B1" s="1" t="s">
        <v>0</v>
      </c>
      <c r="C1" s="1"/>
      <c r="E1" s="2" t="s">
        <v>1</v>
      </c>
      <c r="F1" s="2"/>
      <c r="H1" s="3" t="s">
        <v>3</v>
      </c>
      <c r="I1" s="3"/>
    </row>
    <row r="2" spans="1:9" ht="15.75" customHeight="1">
      <c r="A2" s="4" t="s">
        <v>19</v>
      </c>
      <c r="B2" s="5">
        <v>250</v>
      </c>
      <c r="C2" s="5">
        <v>2.3890784979999999</v>
      </c>
      <c r="E2" s="6">
        <v>249.4555354</v>
      </c>
      <c r="F2" s="6">
        <v>1.6241299300000001</v>
      </c>
      <c r="H2" s="7">
        <f t="shared" ref="H2:I2" si="0">E2-B2</f>
        <v>-0.54446459999999774</v>
      </c>
      <c r="I2" s="7">
        <f t="shared" si="0"/>
        <v>-0.76494856799999988</v>
      </c>
    </row>
    <row r="3" spans="1:9" ht="15.75" customHeight="1">
      <c r="B3" s="5">
        <v>300.73170729999998</v>
      </c>
      <c r="C3" s="5">
        <v>8.3939066009999994</v>
      </c>
      <c r="E3" s="6">
        <v>300.09074409999999</v>
      </c>
      <c r="F3" s="6">
        <v>8.5846867749999998</v>
      </c>
      <c r="H3" s="7">
        <f t="shared" ref="H3:I3" si="1">E3-B3</f>
        <v>-0.64096319999998741</v>
      </c>
      <c r="I3" s="7">
        <f t="shared" si="1"/>
        <v>0.19078017400000036</v>
      </c>
    </row>
    <row r="4" spans="1:9" ht="15.75" customHeight="1">
      <c r="B4" s="5">
        <v>350</v>
      </c>
      <c r="C4" s="5">
        <v>27.713310580000002</v>
      </c>
      <c r="E4" s="6">
        <v>350.18148819999999</v>
      </c>
      <c r="F4" s="6">
        <v>27.146171689999999</v>
      </c>
      <c r="H4" s="7">
        <f t="shared" ref="H4:I4" si="2">E4-B4</f>
        <v>0.18148819999998977</v>
      </c>
      <c r="I4" s="7">
        <f t="shared" si="2"/>
        <v>-0.5671388900000025</v>
      </c>
    </row>
    <row r="5" spans="1:9" ht="15.75" customHeight="1">
      <c r="B5" s="5">
        <v>399.75609759999998</v>
      </c>
      <c r="C5" s="5">
        <v>60.54674103</v>
      </c>
      <c r="E5" s="6">
        <v>399.72776770000002</v>
      </c>
      <c r="F5" s="6">
        <v>61.020881670000001</v>
      </c>
      <c r="H5" s="7">
        <f t="shared" ref="H5:I5" si="3">E5-B5</f>
        <v>-2.8329899999960162E-2</v>
      </c>
      <c r="I5" s="7">
        <f t="shared" si="3"/>
        <v>0.47414064000000167</v>
      </c>
    </row>
    <row r="6" spans="1:9" ht="15.75" customHeight="1">
      <c r="B6" s="5">
        <v>449.51219509999999</v>
      </c>
      <c r="C6" s="5">
        <v>89.489386499999995</v>
      </c>
      <c r="E6" s="6">
        <v>449.27404719999998</v>
      </c>
      <c r="F6" s="6">
        <v>90.487238980000001</v>
      </c>
      <c r="H6" s="7">
        <f t="shared" ref="H6:I6" si="4">E6-B6</f>
        <v>-0.2381479000000013</v>
      </c>
      <c r="I6" s="7">
        <f t="shared" si="4"/>
        <v>0.99785248000000593</v>
      </c>
    </row>
    <row r="7" spans="1:9" ht="15.75" customHeight="1">
      <c r="B7" s="5">
        <v>499.75609759999998</v>
      </c>
      <c r="C7" s="5">
        <v>98.976775160000003</v>
      </c>
      <c r="E7" s="6">
        <v>498.82032670000001</v>
      </c>
      <c r="F7" s="6">
        <v>100</v>
      </c>
      <c r="H7" s="7">
        <f t="shared" ref="H7:I7" si="5">E7-B7</f>
        <v>-0.93577089999996588</v>
      </c>
      <c r="I7" s="7">
        <f t="shared" si="5"/>
        <v>1.0232248399999975</v>
      </c>
    </row>
    <row r="8" spans="1:9" ht="15.75" customHeight="1">
      <c r="B8" s="5">
        <v>551.95121949999998</v>
      </c>
      <c r="C8" s="5">
        <v>98.424706569999998</v>
      </c>
      <c r="E8" s="6">
        <v>549.45553540000003</v>
      </c>
      <c r="F8" s="6">
        <v>100.2320186</v>
      </c>
      <c r="H8" s="7">
        <f t="shared" ref="H8:I8" si="6">E8-B8</f>
        <v>-2.4956840999999486</v>
      </c>
      <c r="I8" s="7">
        <f t="shared" si="6"/>
        <v>1.8073120300000056</v>
      </c>
    </row>
    <row r="9" spans="1:9" ht="15.75" customHeight="1">
      <c r="B9" s="5"/>
      <c r="C9" s="5"/>
      <c r="E9" s="6"/>
      <c r="F9" s="6"/>
      <c r="H9" s="7"/>
      <c r="I9" s="7"/>
    </row>
    <row r="10" spans="1:9" ht="15.75" customHeight="1">
      <c r="A10" s="4" t="s">
        <v>20</v>
      </c>
      <c r="B10" s="5">
        <v>250</v>
      </c>
      <c r="C10" s="5">
        <v>0.34129692830000002</v>
      </c>
      <c r="E10" s="6">
        <v>249.4555354</v>
      </c>
      <c r="F10" s="6">
        <v>0</v>
      </c>
      <c r="H10" s="7">
        <f t="shared" ref="H10:I10" si="7">E10-B10</f>
        <v>-0.54446459999999774</v>
      </c>
      <c r="I10" s="7">
        <f t="shared" si="7"/>
        <v>-0.34129692830000002</v>
      </c>
    </row>
    <row r="11" spans="1:9" ht="15.75" customHeight="1">
      <c r="B11" s="5">
        <v>300.73170729999998</v>
      </c>
      <c r="C11" s="5">
        <v>0.81711479229999995</v>
      </c>
      <c r="E11" s="6">
        <v>300.09074409999999</v>
      </c>
      <c r="F11" s="6">
        <v>0.2320185615</v>
      </c>
      <c r="H11" s="7">
        <f t="shared" ref="H11:I11" si="8">E11-B11</f>
        <v>-0.64096319999998741</v>
      </c>
      <c r="I11" s="7">
        <f t="shared" si="8"/>
        <v>-0.58509623079999995</v>
      </c>
    </row>
    <row r="12" spans="1:9" ht="15.75" customHeight="1">
      <c r="B12" s="5">
        <v>349.51219509999999</v>
      </c>
      <c r="C12" s="5">
        <v>6.827270457</v>
      </c>
      <c r="E12" s="6">
        <v>350.18148819999999</v>
      </c>
      <c r="F12" s="6">
        <v>7.6566125290000002</v>
      </c>
      <c r="H12" s="7">
        <f t="shared" ref="H12:I12" si="9">E12-B12</f>
        <v>0.66929310000000442</v>
      </c>
      <c r="I12" s="7">
        <f t="shared" si="9"/>
        <v>0.82934207200000021</v>
      </c>
    </row>
    <row r="13" spans="1:9" ht="15.75" customHeight="1">
      <c r="B13" s="5">
        <v>399.75609759999998</v>
      </c>
      <c r="C13" s="5">
        <v>21.02455673</v>
      </c>
      <c r="E13" s="6">
        <v>399.18330309999999</v>
      </c>
      <c r="F13" s="6">
        <v>21.345707659999999</v>
      </c>
      <c r="H13" s="7">
        <f t="shared" ref="H13:I13" si="10">E13-B13</f>
        <v>-0.57279449999998633</v>
      </c>
      <c r="I13" s="7">
        <f t="shared" si="10"/>
        <v>0.32115092999999817</v>
      </c>
    </row>
    <row r="14" spans="1:9" ht="15.75" customHeight="1">
      <c r="B14" s="5">
        <v>450.97560979999997</v>
      </c>
      <c r="C14" s="5">
        <v>50.167984680000004</v>
      </c>
      <c r="E14" s="6">
        <v>449.27404719999998</v>
      </c>
      <c r="F14" s="6">
        <v>50.580046400000001</v>
      </c>
      <c r="H14" s="7">
        <f t="shared" ref="H14:I14" si="11">E14-B14</f>
        <v>-1.7015625999999884</v>
      </c>
      <c r="I14" s="7">
        <f t="shared" si="11"/>
        <v>0.41206171999999697</v>
      </c>
    </row>
    <row r="15" spans="1:9" ht="15.75" customHeight="1">
      <c r="B15" s="5">
        <v>500.73170729999998</v>
      </c>
      <c r="C15" s="5">
        <v>79.724964619999994</v>
      </c>
      <c r="E15" s="6">
        <v>499.36479129999998</v>
      </c>
      <c r="F15" s="6">
        <v>80.742459400000001</v>
      </c>
      <c r="H15" s="7">
        <f t="shared" ref="H15:I15" si="12">E15-B15</f>
        <v>-1.3669160000000034</v>
      </c>
      <c r="I15" s="7">
        <f t="shared" si="12"/>
        <v>1.0174947800000069</v>
      </c>
    </row>
    <row r="16" spans="1:9" ht="15.75" customHeight="1">
      <c r="B16" s="5">
        <v>551.95121949999998</v>
      </c>
      <c r="C16" s="5">
        <v>92.0765837</v>
      </c>
      <c r="E16" s="6">
        <v>550</v>
      </c>
      <c r="F16" s="6">
        <v>93.271461720000005</v>
      </c>
      <c r="H16" s="7">
        <f t="shared" ref="H16:I16" si="13">E16-B16</f>
        <v>-1.9512194999999792</v>
      </c>
      <c r="I16" s="7">
        <f t="shared" si="13"/>
        <v>1.1948780200000044</v>
      </c>
    </row>
    <row r="17" spans="1:9" ht="15.75" customHeight="1">
      <c r="B17" s="5"/>
      <c r="C17" s="5"/>
      <c r="E17" s="6"/>
      <c r="F17" s="6"/>
      <c r="H17" s="7"/>
      <c r="I17" s="7"/>
    </row>
    <row r="18" spans="1:9" ht="15.75" customHeight="1">
      <c r="A18" s="4" t="s">
        <v>21</v>
      </c>
      <c r="B18" s="5">
        <v>250</v>
      </c>
      <c r="C18" s="5">
        <v>0.95563139929999996</v>
      </c>
      <c r="E18" s="6">
        <v>250</v>
      </c>
      <c r="F18" s="6">
        <v>0.2320185615</v>
      </c>
      <c r="H18" s="7">
        <f t="shared" ref="H18:I18" si="14">E18-B18</f>
        <v>0</v>
      </c>
      <c r="I18" s="7">
        <f t="shared" si="14"/>
        <v>-0.72361283779999996</v>
      </c>
    </row>
    <row r="19" spans="1:9" ht="15.75" customHeight="1">
      <c r="B19" s="5">
        <v>300.73170729999998</v>
      </c>
      <c r="C19" s="5">
        <v>0.81711479229999995</v>
      </c>
      <c r="E19" s="6">
        <v>299.0018149</v>
      </c>
      <c r="F19" s="6">
        <v>0.464037123</v>
      </c>
      <c r="H19" s="7">
        <f t="shared" ref="H19:I19" si="15">E19-B19</f>
        <v>-1.7298923999999829</v>
      </c>
      <c r="I19" s="7">
        <f t="shared" si="15"/>
        <v>-0.35307766929999995</v>
      </c>
    </row>
    <row r="20" spans="1:9" ht="15.75" customHeight="1">
      <c r="B20" s="5">
        <v>350.48780490000001</v>
      </c>
      <c r="C20" s="5">
        <v>5.8007158910000003</v>
      </c>
      <c r="E20" s="6">
        <v>349.09255899999999</v>
      </c>
      <c r="F20" s="6">
        <v>5.8004640370000002</v>
      </c>
      <c r="H20" s="7">
        <f t="shared" ref="H20:I20" si="16">E20-B20</f>
        <v>-1.3952459000000204</v>
      </c>
      <c r="I20" s="7">
        <f t="shared" si="16"/>
        <v>-2.5185400000005131E-4</v>
      </c>
    </row>
    <row r="21" spans="1:9" ht="15.75" customHeight="1">
      <c r="B21" s="5">
        <v>400.73170729999998</v>
      </c>
      <c r="C21" s="5">
        <v>16.926329809999999</v>
      </c>
      <c r="E21" s="6">
        <v>399.18330309999999</v>
      </c>
      <c r="F21" s="6">
        <v>17.16937355</v>
      </c>
      <c r="H21" s="7">
        <f t="shared" ref="H21:I21" si="17">E21-B21</f>
        <v>-1.5484041999999931</v>
      </c>
      <c r="I21" s="7">
        <f t="shared" si="17"/>
        <v>0.24304374000000095</v>
      </c>
    </row>
    <row r="22" spans="1:9" ht="15.75" customHeight="1">
      <c r="B22" s="5">
        <v>450.97560979999997</v>
      </c>
      <c r="C22" s="5">
        <v>39.314742359999997</v>
      </c>
      <c r="E22" s="6">
        <v>449.27404719999998</v>
      </c>
      <c r="F22" s="6">
        <v>39.675174009999999</v>
      </c>
      <c r="H22" s="7">
        <f t="shared" ref="H22:I22" si="18">E22-B22</f>
        <v>-1.7015625999999884</v>
      </c>
      <c r="I22" s="7">
        <f t="shared" si="18"/>
        <v>0.36043165000000243</v>
      </c>
    </row>
    <row r="23" spans="1:9" ht="15.75" customHeight="1">
      <c r="B23" s="5">
        <v>501.2195122</v>
      </c>
      <c r="C23" s="5">
        <v>67.846499629999997</v>
      </c>
      <c r="E23" s="6">
        <v>499.90925590000001</v>
      </c>
      <c r="F23" s="6">
        <v>68.445475639999998</v>
      </c>
      <c r="H23" s="7">
        <f t="shared" ref="H23:I23" si="19">E23-B23</f>
        <v>-1.3102562999999918</v>
      </c>
      <c r="I23" s="7">
        <f t="shared" si="19"/>
        <v>0.59897601000000122</v>
      </c>
    </row>
    <row r="24" spans="1:9" ht="15.75" customHeight="1">
      <c r="B24" s="5">
        <v>550.97560980000003</v>
      </c>
      <c r="C24" s="5">
        <v>86.550237240000001</v>
      </c>
      <c r="E24" s="6">
        <v>550</v>
      </c>
      <c r="F24" s="6">
        <v>87.470997679999996</v>
      </c>
      <c r="H24" s="7">
        <f t="shared" ref="H24:I24" si="20">E24-B24</f>
        <v>-0.97560980000002928</v>
      </c>
      <c r="I24" s="7">
        <f t="shared" si="20"/>
        <v>0.92076043999999513</v>
      </c>
    </row>
    <row r="25" spans="1:9" ht="15.75" customHeight="1">
      <c r="B25" s="5"/>
      <c r="C25" s="5"/>
      <c r="E25" s="6"/>
      <c r="F25" s="6"/>
      <c r="H25" s="7"/>
      <c r="I25" s="7"/>
    </row>
    <row r="26" spans="1:9" ht="15.75" customHeight="1">
      <c r="A26" s="4" t="s">
        <v>22</v>
      </c>
      <c r="B26" s="5">
        <v>250.9756098</v>
      </c>
      <c r="C26" s="5">
        <v>0.3386331474</v>
      </c>
      <c r="E26" s="6">
        <v>249.4555354</v>
      </c>
      <c r="F26" s="6">
        <v>-0.2320185615</v>
      </c>
      <c r="H26" s="7">
        <f t="shared" ref="H26:I26" si="21">E26-B26</f>
        <v>-1.5200743999999986</v>
      </c>
      <c r="I26" s="7">
        <f t="shared" si="21"/>
        <v>-0.57065170890000005</v>
      </c>
    </row>
    <row r="27" spans="1:9" ht="15.75" customHeight="1">
      <c r="B27" s="5">
        <v>301.2195122</v>
      </c>
      <c r="C27" s="5">
        <v>-0.2081078831</v>
      </c>
      <c r="E27" s="6">
        <v>299.54627950000003</v>
      </c>
      <c r="F27" s="6">
        <v>0.2320185615</v>
      </c>
      <c r="H27" s="7">
        <f t="shared" ref="H27:I27" si="22">E27-B27</f>
        <v>-1.6732326999999714</v>
      </c>
      <c r="I27" s="7">
        <f t="shared" si="22"/>
        <v>0.4401264446</v>
      </c>
    </row>
    <row r="28" spans="1:9" ht="15.75" customHeight="1">
      <c r="B28" s="5">
        <v>350.48780490000001</v>
      </c>
      <c r="C28" s="5">
        <v>4.1624906350000002</v>
      </c>
      <c r="E28" s="6">
        <v>349.09255899999999</v>
      </c>
      <c r="F28" s="6">
        <v>4.408352668</v>
      </c>
      <c r="H28" s="7">
        <f t="shared" ref="H28:I28" si="23">E28-B28</f>
        <v>-1.3952459000000204</v>
      </c>
      <c r="I28" s="7">
        <f t="shared" si="23"/>
        <v>0.24586203299999987</v>
      </c>
    </row>
    <row r="29" spans="1:9" ht="15.75" customHeight="1">
      <c r="B29" s="5">
        <v>400.73170729999998</v>
      </c>
      <c r="C29" s="5">
        <v>13.44510114</v>
      </c>
      <c r="E29" s="6">
        <v>399.18330309999999</v>
      </c>
      <c r="F29" s="6">
        <v>13.68909513</v>
      </c>
      <c r="H29" s="7">
        <f t="shared" ref="H29:I29" si="24">E29-B29</f>
        <v>-1.5484041999999931</v>
      </c>
      <c r="I29" s="7">
        <f t="shared" si="24"/>
        <v>0.24399398999999988</v>
      </c>
    </row>
    <row r="30" spans="1:9" ht="15.75" customHeight="1">
      <c r="B30" s="5">
        <v>449.51219509999999</v>
      </c>
      <c r="C30" s="5">
        <v>33.175393319999998</v>
      </c>
      <c r="E30" s="6">
        <v>449.27404719999998</v>
      </c>
      <c r="F30" s="6">
        <v>32.946635729999997</v>
      </c>
      <c r="H30" s="7">
        <f t="shared" ref="H30:I30" si="25">E30-B30</f>
        <v>-0.2381479000000013</v>
      </c>
      <c r="I30" s="7">
        <f t="shared" si="25"/>
        <v>-0.22875759000000073</v>
      </c>
    </row>
    <row r="31" spans="1:9" ht="15.75" customHeight="1">
      <c r="B31" s="5">
        <v>501.2195122</v>
      </c>
      <c r="C31" s="5">
        <v>60.67926413</v>
      </c>
      <c r="E31" s="6">
        <v>499.36479129999998</v>
      </c>
      <c r="F31" s="6">
        <v>61.948955920000003</v>
      </c>
      <c r="H31" s="7">
        <f t="shared" ref="H31:I31" si="26">E31-B31</f>
        <v>-1.854720900000018</v>
      </c>
      <c r="I31" s="7">
        <f t="shared" si="26"/>
        <v>1.2696917900000031</v>
      </c>
    </row>
    <row r="32" spans="1:9" ht="15.75" customHeight="1">
      <c r="B32" s="5">
        <v>551.95121949999998</v>
      </c>
      <c r="C32" s="5">
        <v>82.452010319999999</v>
      </c>
      <c r="E32" s="6">
        <v>549.45553540000003</v>
      </c>
      <c r="F32" s="6">
        <v>84.222737820000006</v>
      </c>
      <c r="H32" s="7">
        <f t="shared" ref="H32:I32" si="27">E32-B32</f>
        <v>-2.4956840999999486</v>
      </c>
      <c r="I32" s="7">
        <f t="shared" si="27"/>
        <v>1.7707275000000067</v>
      </c>
    </row>
    <row r="33" spans="8:10" ht="15.75" customHeight="1">
      <c r="H33" s="7"/>
      <c r="I33" s="7"/>
    </row>
    <row r="34" spans="8:10" ht="15.75" customHeight="1">
      <c r="H34" s="8">
        <f t="shared" ref="H34:I34" si="28">AVERAGE(H2:H32)</f>
        <v>-1.0784636071428488</v>
      </c>
      <c r="I34" s="8">
        <f t="shared" si="28"/>
        <v>0.3652506788035722</v>
      </c>
      <c r="J34" s="9" t="s">
        <v>6</v>
      </c>
    </row>
    <row r="35" spans="8:10" ht="15.75" customHeight="1">
      <c r="H35" s="8">
        <f t="shared" ref="H35:I35" si="29">MEDIAN(H2:H32)</f>
        <v>-1.3385861499999976</v>
      </c>
      <c r="I35" s="8">
        <f t="shared" si="29"/>
        <v>0.3407912900000003</v>
      </c>
      <c r="J35" s="9" t="s">
        <v>7</v>
      </c>
    </row>
    <row r="36" spans="8:10" ht="15.75" customHeight="1">
      <c r="H36" s="8">
        <f t="shared" ref="H36:I36" si="30">MAX(H2:H35)</f>
        <v>0.66929310000000442</v>
      </c>
      <c r="I36" s="8">
        <f t="shared" si="30"/>
        <v>1.8073120300000056</v>
      </c>
      <c r="J36" s="9" t="s">
        <v>8</v>
      </c>
    </row>
    <row r="37" spans="8:10" ht="15.75" customHeight="1"/>
    <row r="38" spans="8:10" ht="15.75" customHeight="1"/>
    <row r="39" spans="8:10" ht="15.75" customHeight="1"/>
    <row r="40" spans="8:10" ht="15.75" customHeight="1"/>
    <row r="41" spans="8:10" ht="15.75" customHeight="1"/>
    <row r="42" spans="8:10" ht="15.75" customHeight="1"/>
    <row r="43" spans="8:10" ht="15.75" customHeight="1"/>
    <row r="44" spans="8:10" ht="15.75" customHeight="1"/>
    <row r="45" spans="8:10" ht="15.75" customHeight="1"/>
    <row r="46" spans="8:10" ht="15.75" customHeight="1"/>
    <row r="47" spans="8:10" ht="15.75" customHeight="1"/>
    <row r="48" spans="8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workbookViewId="0"/>
  </sheetViews>
  <sheetFormatPr defaultColWidth="11.25" defaultRowHeight="15" customHeight="1"/>
  <cols>
    <col min="1" max="26" width="10.5" customWidth="1"/>
  </cols>
  <sheetData>
    <row r="1" spans="1:10" ht="15.75" customHeight="1">
      <c r="B1" s="1" t="s">
        <v>0</v>
      </c>
      <c r="C1" s="1"/>
      <c r="E1" s="2" t="s">
        <v>1</v>
      </c>
      <c r="F1" s="2"/>
      <c r="H1" s="3" t="s">
        <v>3</v>
      </c>
      <c r="I1" s="3"/>
    </row>
    <row r="2" spans="1:10" ht="15.75" customHeight="1">
      <c r="A2" s="4">
        <v>400</v>
      </c>
      <c r="B2" s="5">
        <v>0.96930533119999995</v>
      </c>
      <c r="C2" s="5">
        <v>61.901874429999999</v>
      </c>
      <c r="E2" s="6">
        <v>0.9466437177</v>
      </c>
      <c r="F2" s="6">
        <v>61.978021980000001</v>
      </c>
      <c r="H2" s="7">
        <f t="shared" ref="H2:I2" si="0">E2-B2</f>
        <v>-2.2661613499999955E-2</v>
      </c>
      <c r="I2" s="7">
        <f t="shared" si="0"/>
        <v>7.6147550000001729E-2</v>
      </c>
    </row>
    <row r="3" spans="1:10" ht="15.75" customHeight="1">
      <c r="B3" s="5">
        <v>10.258481420000001</v>
      </c>
      <c r="C3" s="5">
        <v>22.913559209999999</v>
      </c>
      <c r="E3" s="6">
        <v>10.068846819999999</v>
      </c>
      <c r="F3" s="6">
        <v>23.516483520000001</v>
      </c>
      <c r="H3" s="7">
        <f t="shared" ref="H3:I3" si="1">E3-B3</f>
        <v>-0.18963460000000154</v>
      </c>
      <c r="I3" s="7">
        <f t="shared" si="1"/>
        <v>0.60292431000000235</v>
      </c>
    </row>
    <row r="4" spans="1:10" ht="15.75" customHeight="1">
      <c r="B4" s="5">
        <v>19.951534729999999</v>
      </c>
      <c r="C4" s="5">
        <v>18.850111760000001</v>
      </c>
      <c r="E4" s="6">
        <v>20.051635109999999</v>
      </c>
      <c r="F4" s="6">
        <v>20</v>
      </c>
      <c r="H4" s="7">
        <f t="shared" ref="H4:I4" si="2">E4-B4</f>
        <v>0.10010038000000065</v>
      </c>
      <c r="I4" s="7">
        <f t="shared" si="2"/>
        <v>1.1498882399999992</v>
      </c>
    </row>
    <row r="5" spans="1:10" ht="15.75" customHeight="1">
      <c r="B5" s="5">
        <v>40.145395800000003</v>
      </c>
      <c r="C5" s="5">
        <v>17.696240070000002</v>
      </c>
      <c r="E5" s="6">
        <v>40.017211699999997</v>
      </c>
      <c r="F5" s="6">
        <v>18.901098900000001</v>
      </c>
      <c r="H5" s="7">
        <f t="shared" ref="H5:I5" si="3">E5-B5</f>
        <v>-0.12818410000000569</v>
      </c>
      <c r="I5" s="7">
        <f t="shared" si="3"/>
        <v>1.2048588299999992</v>
      </c>
    </row>
    <row r="6" spans="1:10" ht="15.75" customHeight="1">
      <c r="B6" s="5"/>
      <c r="C6" s="5"/>
      <c r="E6" s="6"/>
      <c r="F6" s="6"/>
      <c r="H6" s="7"/>
      <c r="I6" s="7"/>
    </row>
    <row r="7" spans="1:10" ht="15.75" customHeight="1">
      <c r="A7" s="4">
        <v>450</v>
      </c>
      <c r="B7" s="5">
        <v>0.96930533119999995</v>
      </c>
      <c r="C7" s="5">
        <v>90.258038819999996</v>
      </c>
      <c r="E7" s="6">
        <v>1.0327022379999999</v>
      </c>
      <c r="F7" s="6">
        <v>90.549450550000003</v>
      </c>
      <c r="H7" s="7">
        <f t="shared" ref="H7:I7" si="4">E7-B7</f>
        <v>6.3396906799999986E-2</v>
      </c>
      <c r="I7" s="7">
        <f t="shared" si="4"/>
        <v>0.2914117300000072</v>
      </c>
    </row>
    <row r="8" spans="1:10" ht="15.75" customHeight="1">
      <c r="B8" s="5">
        <v>10.01615509</v>
      </c>
      <c r="C8" s="5">
        <v>51.890145400000002</v>
      </c>
      <c r="E8" s="6">
        <v>9.9827882960000007</v>
      </c>
      <c r="F8" s="6">
        <v>52.527472529999997</v>
      </c>
      <c r="H8" s="7">
        <f t="shared" ref="H8:I8" si="5">E8-B8</f>
        <v>-3.3366793999999089E-2</v>
      </c>
      <c r="I8" s="7">
        <f t="shared" si="5"/>
        <v>0.63732712999999563</v>
      </c>
    </row>
    <row r="9" spans="1:10" ht="15.75" customHeight="1">
      <c r="B9" s="5">
        <v>19.951534729999999</v>
      </c>
      <c r="C9" s="5">
        <v>41.247372030000001</v>
      </c>
      <c r="E9" s="6">
        <v>19.965576590000001</v>
      </c>
      <c r="F9" s="6">
        <v>42.637362639999999</v>
      </c>
      <c r="H9" s="7">
        <f t="shared" ref="H9:I9" si="6">E9-B9</f>
        <v>1.4041860000002515E-2</v>
      </c>
      <c r="I9" s="7">
        <f t="shared" si="6"/>
        <v>1.3899906099999981</v>
      </c>
    </row>
    <row r="10" spans="1:10" ht="15.75" customHeight="1">
      <c r="B10" s="5">
        <v>39.983844910000002</v>
      </c>
      <c r="C10" s="5">
        <v>36.603005289999999</v>
      </c>
      <c r="E10" s="6">
        <v>39.931153180000003</v>
      </c>
      <c r="F10" s="6">
        <v>38.021978019999999</v>
      </c>
      <c r="H10" s="7">
        <f t="shared" ref="H10:I10" si="7">E10-B10</f>
        <v>-5.2691729999999382E-2</v>
      </c>
      <c r="I10" s="7">
        <f t="shared" si="7"/>
        <v>1.4189727300000001</v>
      </c>
    </row>
    <row r="11" spans="1:10" ht="15.75" customHeight="1">
      <c r="H11" s="7"/>
      <c r="I11" s="7"/>
    </row>
    <row r="12" spans="1:10" ht="15.75" customHeight="1">
      <c r="H12" s="8">
        <f t="shared" ref="H12:I12" si="8">AVERAGE(H2:H10)</f>
        <v>-3.1124961337500312E-2</v>
      </c>
      <c r="I12" s="8">
        <f t="shared" si="8"/>
        <v>0.84644014125000044</v>
      </c>
      <c r="J12" s="9" t="s">
        <v>6</v>
      </c>
    </row>
    <row r="13" spans="1:10" ht="15.75" customHeight="1">
      <c r="H13" s="8">
        <f t="shared" ref="H13:I13" si="9">MEDIAN(H2:H10)</f>
        <v>-2.8014203749999522E-2</v>
      </c>
      <c r="I13" s="8">
        <f t="shared" si="9"/>
        <v>0.89360768499999743</v>
      </c>
      <c r="J13" s="9" t="s">
        <v>7</v>
      </c>
    </row>
    <row r="14" spans="1:10" ht="15.75" customHeight="1">
      <c r="H14" s="8">
        <f t="shared" ref="H14:I14" si="10">MAX(H2:H13)</f>
        <v>0.10010038000000065</v>
      </c>
      <c r="I14" s="8">
        <f t="shared" si="10"/>
        <v>1.4189727300000001</v>
      </c>
      <c r="J14" s="9" t="s">
        <v>8</v>
      </c>
    </row>
    <row r="15" spans="1:10" ht="15.75" customHeight="1"/>
    <row r="16" spans="1:10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0"/>
  <sheetViews>
    <sheetView workbookViewId="0"/>
  </sheetViews>
  <sheetFormatPr defaultColWidth="11.25" defaultRowHeight="15" customHeight="1"/>
  <cols>
    <col min="1" max="26" width="10.5" customWidth="1"/>
  </cols>
  <sheetData>
    <row r="1" spans="1:9" ht="15.75" customHeight="1">
      <c r="B1" s="1" t="s">
        <v>0</v>
      </c>
      <c r="C1" s="1"/>
      <c r="E1" s="2" t="s">
        <v>1</v>
      </c>
      <c r="F1" s="2"/>
      <c r="H1" s="3" t="s">
        <v>3</v>
      </c>
      <c r="I1" s="3"/>
    </row>
    <row r="2" spans="1:9" ht="15.75" customHeight="1">
      <c r="A2" s="4" t="s">
        <v>19</v>
      </c>
      <c r="B2" s="5">
        <v>250.9771987</v>
      </c>
      <c r="C2" s="5">
        <v>-0.1249555197</v>
      </c>
      <c r="E2" s="6">
        <v>250</v>
      </c>
      <c r="F2" s="6">
        <v>-4.6403712299999997E-2</v>
      </c>
      <c r="H2" s="7">
        <f t="shared" ref="H2:I2" si="0">E2-B2</f>
        <v>-0.97719870000000242</v>
      </c>
      <c r="I2" s="7">
        <f t="shared" si="0"/>
        <v>7.8551807400000007E-2</v>
      </c>
    </row>
    <row r="3" spans="1:9" ht="15.75" customHeight="1">
      <c r="B3" s="5">
        <v>298.37133549999999</v>
      </c>
      <c r="C3" s="5">
        <v>-1.437056907E-2</v>
      </c>
      <c r="E3" s="6">
        <v>299.27797829999997</v>
      </c>
      <c r="F3" s="6">
        <v>9.2807424590000007E-2</v>
      </c>
      <c r="H3" s="7">
        <f t="shared" ref="H3:I3" si="1">E3-B3</f>
        <v>0.90664279999998598</v>
      </c>
      <c r="I3" s="7">
        <f t="shared" si="1"/>
        <v>0.10717799366000001</v>
      </c>
    </row>
    <row r="4" spans="1:9" ht="15.75" customHeight="1">
      <c r="B4" s="5">
        <v>348.69706839999998</v>
      </c>
      <c r="C4" s="5">
        <v>0.18189034570000001</v>
      </c>
      <c r="E4" s="6">
        <v>350.72202170000003</v>
      </c>
      <c r="F4" s="6">
        <v>0.2320185615</v>
      </c>
      <c r="H4" s="7">
        <f t="shared" ref="H4:I4" si="2">E4-B4</f>
        <v>2.0249533000000497</v>
      </c>
      <c r="I4" s="7">
        <f t="shared" si="2"/>
        <v>5.0128215799999987E-2</v>
      </c>
    </row>
    <row r="5" spans="1:9" ht="15.75" customHeight="1">
      <c r="B5" s="5">
        <v>400.97719869999997</v>
      </c>
      <c r="C5" s="5">
        <v>0.37924616100000003</v>
      </c>
      <c r="E5" s="6">
        <v>400</v>
      </c>
      <c r="F5" s="6">
        <v>0.41763341069999999</v>
      </c>
      <c r="H5" s="7">
        <f t="shared" ref="H5:I5" si="3">E5-B5</f>
        <v>-0.977198699999974</v>
      </c>
      <c r="I5" s="7">
        <f t="shared" si="3"/>
        <v>3.8387249699999959E-2</v>
      </c>
    </row>
    <row r="6" spans="1:9" ht="15.75" customHeight="1">
      <c r="B6" s="5">
        <v>450.32573289999999</v>
      </c>
      <c r="C6" s="5">
        <v>0.49092601209999998</v>
      </c>
      <c r="E6" s="6">
        <v>450.90252709999999</v>
      </c>
      <c r="F6" s="6">
        <v>0.464037123</v>
      </c>
      <c r="H6" s="7">
        <f t="shared" ref="H6:I6" si="4">E6-B6</f>
        <v>0.57679419999999482</v>
      </c>
      <c r="I6" s="7">
        <f t="shared" si="4"/>
        <v>-2.688888909999998E-2</v>
      </c>
    </row>
    <row r="7" spans="1:9" ht="15.75" customHeight="1">
      <c r="B7" s="5">
        <v>501.14006510000002</v>
      </c>
      <c r="C7" s="5">
        <v>0.51939342509999997</v>
      </c>
      <c r="E7" s="6">
        <v>500.72202170000003</v>
      </c>
      <c r="F7" s="6">
        <v>0.60324825989999997</v>
      </c>
      <c r="H7" s="7">
        <f t="shared" ref="H7:I7" si="5">E7-B7</f>
        <v>-0.41804339999998774</v>
      </c>
      <c r="I7" s="7">
        <f t="shared" si="5"/>
        <v>8.38548348E-2</v>
      </c>
    </row>
    <row r="8" spans="1:9" ht="15.75" customHeight="1">
      <c r="B8" s="5">
        <v>550</v>
      </c>
      <c r="C8" s="5">
        <v>0.54676593760000003</v>
      </c>
      <c r="E8" s="6">
        <v>550</v>
      </c>
      <c r="F8" s="6">
        <v>0.55684454760000002</v>
      </c>
      <c r="H8" s="7">
        <f t="shared" ref="H8:I8" si="6">E8-B8</f>
        <v>0</v>
      </c>
      <c r="I8" s="7">
        <f t="shared" si="6"/>
        <v>1.0078609999999988E-2</v>
      </c>
    </row>
    <row r="9" spans="1:9" ht="15.75" customHeight="1">
      <c r="B9" s="5"/>
      <c r="C9" s="5"/>
      <c r="E9" s="6"/>
      <c r="F9" s="6"/>
      <c r="H9" s="7"/>
      <c r="I9" s="7"/>
    </row>
    <row r="10" spans="1:9" ht="15.75" customHeight="1">
      <c r="A10" s="4" t="s">
        <v>20</v>
      </c>
      <c r="B10" s="5">
        <v>250.9771987</v>
      </c>
      <c r="C10" s="5">
        <v>-0.1249555197</v>
      </c>
      <c r="E10" s="6">
        <v>250</v>
      </c>
      <c r="F10" s="6">
        <v>-4.6403712299999997E-2</v>
      </c>
      <c r="H10" s="7">
        <f t="shared" ref="H10:I10" si="7">E10-B16</f>
        <v>-300.97719870000003</v>
      </c>
      <c r="I10" s="7">
        <f t="shared" si="7"/>
        <v>-5.2155658393</v>
      </c>
    </row>
    <row r="11" spans="1:9" ht="15.75" customHeight="1">
      <c r="B11" s="5">
        <v>299.83713360000002</v>
      </c>
      <c r="C11" s="5">
        <v>0.1125010265</v>
      </c>
      <c r="E11" s="6">
        <v>299.81949459999998</v>
      </c>
      <c r="F11" s="6">
        <v>0</v>
      </c>
      <c r="H11" s="7">
        <f t="shared" ref="H11:I11" si="8">E11-B15</f>
        <v>-200.3433718</v>
      </c>
      <c r="I11" s="7">
        <f t="shared" si="8"/>
        <v>-4.468425807</v>
      </c>
    </row>
    <row r="12" spans="1:9" ht="15.75" customHeight="1">
      <c r="B12" s="5">
        <v>352.11726379999999</v>
      </c>
      <c r="C12" s="5">
        <v>0.35187364850000002</v>
      </c>
      <c r="E12" s="6">
        <v>350.18050540000002</v>
      </c>
      <c r="F12" s="6">
        <v>0.41763341069999999</v>
      </c>
      <c r="H12" s="7">
        <f t="shared" ref="H12:I12" si="9">E12-B14</f>
        <v>-100.14522749999998</v>
      </c>
      <c r="I12" s="7">
        <f t="shared" si="9"/>
        <v>-2.4682505842999998</v>
      </c>
    </row>
    <row r="13" spans="1:9" ht="15.75" customHeight="1">
      <c r="B13" s="5">
        <v>401.46579800000001</v>
      </c>
      <c r="C13" s="5">
        <v>1.0938056</v>
      </c>
      <c r="E13" s="6">
        <v>400</v>
      </c>
      <c r="F13" s="6">
        <v>1.252900232</v>
      </c>
      <c r="H13" s="7">
        <f t="shared" ref="H13:I13" si="10">E13-B13</f>
        <v>-1.4657980000000066</v>
      </c>
      <c r="I13" s="7">
        <f t="shared" si="10"/>
        <v>0.15909463199999996</v>
      </c>
    </row>
    <row r="14" spans="1:9" ht="15.75" customHeight="1">
      <c r="B14" s="5">
        <v>450.32573289999999</v>
      </c>
      <c r="C14" s="5">
        <v>2.8858839949999999</v>
      </c>
      <c r="E14" s="6">
        <v>450.36101079999997</v>
      </c>
      <c r="F14" s="6">
        <v>2.83062645</v>
      </c>
      <c r="H14" s="7">
        <f t="shared" ref="H14:I14" si="11">E14-B12</f>
        <v>98.243746999999985</v>
      </c>
      <c r="I14" s="7">
        <f t="shared" si="11"/>
        <v>2.4787528014999998</v>
      </c>
    </row>
    <row r="15" spans="1:9" ht="15.75" customHeight="1">
      <c r="B15" s="5">
        <v>500.16286639999998</v>
      </c>
      <c r="C15" s="5">
        <v>4.468425807</v>
      </c>
      <c r="E15" s="6">
        <v>500.18050540000002</v>
      </c>
      <c r="F15" s="6">
        <v>4.4547563810000002</v>
      </c>
      <c r="H15" s="7">
        <f t="shared" ref="H15:I15" si="12">E15-B11</f>
        <v>200.3433718</v>
      </c>
      <c r="I15" s="7">
        <f t="shared" si="12"/>
        <v>4.3422553544999998</v>
      </c>
    </row>
    <row r="16" spans="1:9" ht="15.75" customHeight="1">
      <c r="B16" s="5">
        <v>550.97719870000003</v>
      </c>
      <c r="C16" s="5">
        <v>5.1691621269999999</v>
      </c>
      <c r="E16" s="6">
        <v>550.54151620000005</v>
      </c>
      <c r="F16" s="6">
        <v>5.1508120650000002</v>
      </c>
      <c r="H16" s="7">
        <f t="shared" ref="H16:I16" si="13">E16-B10</f>
        <v>299.56431750000002</v>
      </c>
      <c r="I16" s="7">
        <f t="shared" si="13"/>
        <v>5.2757675847000005</v>
      </c>
    </row>
    <row r="17" spans="1:9" ht="15.75" customHeight="1">
      <c r="B17" s="5"/>
      <c r="C17" s="5"/>
      <c r="E17" s="6"/>
      <c r="F17" s="6"/>
      <c r="H17" s="7"/>
      <c r="I17" s="7"/>
    </row>
    <row r="18" spans="1:9" ht="15.75" customHeight="1">
      <c r="A18" s="4" t="s">
        <v>21</v>
      </c>
      <c r="B18" s="5">
        <v>250.4885993</v>
      </c>
      <c r="C18" s="5">
        <v>-0.1252292448</v>
      </c>
      <c r="E18" s="6">
        <v>250.54151619999999</v>
      </c>
      <c r="F18" s="6">
        <v>4.6403712299999997E-2</v>
      </c>
      <c r="H18" s="7">
        <f t="shared" ref="H18:I18" si="14">E18-B24</f>
        <v>-300.43568250000004</v>
      </c>
      <c r="I18" s="7">
        <f t="shared" si="14"/>
        <v>-9.9546911876999999</v>
      </c>
    </row>
    <row r="19" spans="1:9" ht="15.75" customHeight="1">
      <c r="B19" s="5">
        <v>300.81433220000002</v>
      </c>
      <c r="C19" s="5">
        <v>-1.3001943449999999E-2</v>
      </c>
      <c r="E19" s="6">
        <v>299.81949459999998</v>
      </c>
      <c r="F19" s="6">
        <v>4.6403712299999997E-2</v>
      </c>
      <c r="H19" s="7">
        <f t="shared" ref="H19:I19" si="15">E19-B23</f>
        <v>-200.3433718</v>
      </c>
      <c r="I19" s="7">
        <f t="shared" si="15"/>
        <v>-7.6152994057000001</v>
      </c>
    </row>
    <row r="20" spans="1:9" ht="15.75" customHeight="1">
      <c r="B20" s="5">
        <v>350.65146579999998</v>
      </c>
      <c r="C20" s="5">
        <v>0.56113650670000004</v>
      </c>
      <c r="E20" s="6">
        <v>350.72202170000003</v>
      </c>
      <c r="F20" s="6">
        <v>0.60324825989999997</v>
      </c>
      <c r="H20" s="7">
        <f t="shared" ref="H20:I20" si="16">E20-B22</f>
        <v>-101.55810859999997</v>
      </c>
      <c r="I20" s="7">
        <f t="shared" si="16"/>
        <v>-3.7543188710999997</v>
      </c>
    </row>
    <row r="21" spans="1:9" ht="15.75" customHeight="1">
      <c r="B21" s="5">
        <v>400.97719869999997</v>
      </c>
      <c r="C21" s="5">
        <v>1.80781759</v>
      </c>
      <c r="E21" s="6">
        <v>400.54151619999999</v>
      </c>
      <c r="F21" s="6">
        <v>1.9489559160000001</v>
      </c>
      <c r="H21" s="7">
        <f t="shared" ref="H21:I21" si="17">E21-B21</f>
        <v>-0.43568249999998443</v>
      </c>
      <c r="I21" s="7">
        <f t="shared" si="17"/>
        <v>0.14113832600000009</v>
      </c>
    </row>
    <row r="22" spans="1:9" ht="15.75" customHeight="1">
      <c r="B22" s="5">
        <v>452.2801303</v>
      </c>
      <c r="C22" s="5">
        <v>4.3575671309999997</v>
      </c>
      <c r="E22" s="6">
        <v>450.90252709999999</v>
      </c>
      <c r="F22" s="6">
        <v>4.408352668</v>
      </c>
      <c r="H22" s="7">
        <f t="shared" ref="H22:I22" si="18">E22-B20</f>
        <v>100.2510613</v>
      </c>
      <c r="I22" s="7">
        <f t="shared" si="18"/>
        <v>3.8472161613</v>
      </c>
    </row>
    <row r="23" spans="1:9" ht="15.75" customHeight="1">
      <c r="B23" s="5">
        <v>500.16286639999998</v>
      </c>
      <c r="C23" s="5">
        <v>7.6617031180000001</v>
      </c>
      <c r="E23" s="6">
        <v>500.18050540000002</v>
      </c>
      <c r="F23" s="6">
        <v>7.6102088170000002</v>
      </c>
      <c r="H23" s="7">
        <f t="shared" ref="H23:I23" si="19">E23-B19</f>
        <v>199.36617319999999</v>
      </c>
      <c r="I23" s="7">
        <f t="shared" si="19"/>
        <v>7.6232107604500001</v>
      </c>
    </row>
    <row r="24" spans="1:9" ht="15.75" customHeight="1">
      <c r="B24" s="5">
        <v>550.97719870000003</v>
      </c>
      <c r="C24" s="5">
        <v>10.0010949</v>
      </c>
      <c r="E24" s="6">
        <v>550.54151620000005</v>
      </c>
      <c r="F24" s="6">
        <v>9.8375870069999998</v>
      </c>
      <c r="H24" s="7">
        <f t="shared" ref="H24:I24" si="20">E24-B18</f>
        <v>300.05291690000001</v>
      </c>
      <c r="I24" s="7">
        <f t="shared" si="20"/>
        <v>9.9628162517999996</v>
      </c>
    </row>
    <row r="25" spans="1:9" ht="15.75" customHeight="1">
      <c r="B25" s="5"/>
      <c r="C25" s="5"/>
      <c r="E25" s="6"/>
      <c r="F25" s="6"/>
      <c r="H25" s="7"/>
      <c r="I25" s="7"/>
    </row>
    <row r="26" spans="1:9" ht="15.75" customHeight="1">
      <c r="A26" s="4" t="s">
        <v>23</v>
      </c>
      <c r="B26" s="5">
        <v>248.53420199999999</v>
      </c>
      <c r="C26" s="5">
        <v>-0.1263241453</v>
      </c>
      <c r="E26" s="6">
        <v>250</v>
      </c>
      <c r="F26" s="6">
        <v>-9.2807424590000007E-2</v>
      </c>
      <c r="H26" s="7">
        <f t="shared" ref="H26:I26" si="21">E26-B32</f>
        <v>-301.95439739999995</v>
      </c>
      <c r="I26" s="7">
        <f t="shared" si="21"/>
        <v>-19.128063224590001</v>
      </c>
    </row>
    <row r="27" spans="1:9" ht="15.75" customHeight="1">
      <c r="B27" s="5">
        <v>299.83713360000002</v>
      </c>
      <c r="C27" s="5">
        <v>-0.1816166206</v>
      </c>
      <c r="E27" s="6">
        <v>299.81949459999998</v>
      </c>
      <c r="F27" s="6">
        <v>-4.6403712299999997E-2</v>
      </c>
      <c r="H27" s="7">
        <f t="shared" ref="H27:I27" si="22">E27-B31</f>
        <v>-200.3433718</v>
      </c>
      <c r="I27" s="7">
        <f t="shared" si="22"/>
        <v>-13.758527002299999</v>
      </c>
    </row>
    <row r="28" spans="1:9" ht="15.75" customHeight="1">
      <c r="B28" s="5">
        <v>349.67426710000001</v>
      </c>
      <c r="C28" s="5">
        <v>0.93874031700000005</v>
      </c>
      <c r="E28" s="6">
        <v>349.63898920000003</v>
      </c>
      <c r="F28" s="6">
        <v>0.92807424589999998</v>
      </c>
      <c r="H28" s="7">
        <f t="shared" ref="H28:I28" si="23">E28-B30</f>
        <v>-101.175343</v>
      </c>
      <c r="I28" s="7">
        <f t="shared" si="23"/>
        <v>-6.4118649870999995</v>
      </c>
    </row>
    <row r="29" spans="1:9" ht="15.75" customHeight="1">
      <c r="B29" s="5">
        <v>401.46579800000001</v>
      </c>
      <c r="C29" s="5">
        <v>3.1106123229999998</v>
      </c>
      <c r="E29" s="6">
        <v>400.54151619999999</v>
      </c>
      <c r="F29" s="6">
        <v>3.0626450119999999</v>
      </c>
      <c r="H29" s="7">
        <f t="shared" ref="H29:I29" si="24">E29-B29</f>
        <v>-0.92428180000001703</v>
      </c>
      <c r="I29" s="7">
        <f t="shared" si="24"/>
        <v>-4.7967310999999846E-2</v>
      </c>
    </row>
    <row r="30" spans="1:9" ht="15.75" customHeight="1">
      <c r="B30" s="5">
        <v>450.81433220000002</v>
      </c>
      <c r="C30" s="5">
        <v>7.339939233</v>
      </c>
      <c r="E30" s="6">
        <v>450.90252709999999</v>
      </c>
      <c r="F30" s="6">
        <v>7.2853828309999997</v>
      </c>
      <c r="H30" s="7">
        <f t="shared" ref="H30:I30" si="25">E30-B28</f>
        <v>101.22825999999998</v>
      </c>
      <c r="I30" s="7">
        <f t="shared" si="25"/>
        <v>6.346642514</v>
      </c>
    </row>
    <row r="31" spans="1:9" ht="15.75" customHeight="1">
      <c r="B31" s="5">
        <v>500.16286639999998</v>
      </c>
      <c r="C31" s="5">
        <v>13.712123289999999</v>
      </c>
      <c r="E31" s="6">
        <v>499.63898920000003</v>
      </c>
      <c r="F31" s="6">
        <v>13.64269142</v>
      </c>
      <c r="H31" s="7">
        <f t="shared" ref="H31:I31" si="26">E31-B27</f>
        <v>199.80185560000001</v>
      </c>
      <c r="I31" s="7">
        <f t="shared" si="26"/>
        <v>13.8243080406</v>
      </c>
    </row>
    <row r="32" spans="1:9" ht="15.75" customHeight="1">
      <c r="B32" s="5">
        <v>551.95439739999995</v>
      </c>
      <c r="C32" s="5">
        <v>19.035255800000002</v>
      </c>
      <c r="E32" s="6">
        <v>550</v>
      </c>
      <c r="F32" s="6">
        <v>18.747099769999998</v>
      </c>
      <c r="H32" s="7">
        <f t="shared" ref="H32:I32" si="27">E32-B26</f>
        <v>301.46579800000001</v>
      </c>
      <c r="I32" s="7">
        <f t="shared" si="27"/>
        <v>18.873423915299998</v>
      </c>
    </row>
    <row r="33" spans="8:10" ht="15.75" customHeight="1">
      <c r="H33" s="7"/>
      <c r="I33" s="7"/>
    </row>
    <row r="34" spans="8:10" ht="15.75" customHeight="1">
      <c r="H34" s="8">
        <f t="shared" ref="H34:I34" si="28">AVERAGE(H2:H32)</f>
        <v>-0.30887087857142398</v>
      </c>
      <c r="I34" s="8">
        <f t="shared" si="28"/>
        <v>1.4033640868571571E-2</v>
      </c>
      <c r="J34" s="9" t="s">
        <v>6</v>
      </c>
    </row>
    <row r="35" spans="8:10" ht="15.75" customHeight="1">
      <c r="H35" s="8">
        <f t="shared" ref="H35:I35" si="29">MEDIAN(H2:H32)</f>
        <v>-0.42686294999998609</v>
      </c>
      <c r="I35" s="8">
        <f t="shared" si="29"/>
        <v>6.4340011599999997E-2</v>
      </c>
      <c r="J35" s="9" t="s">
        <v>7</v>
      </c>
    </row>
    <row r="36" spans="8:10" ht="15.75" customHeight="1">
      <c r="H36" s="8">
        <f t="shared" ref="H36:I36" si="30">MAX(H2:H35)</f>
        <v>301.46579800000001</v>
      </c>
      <c r="I36" s="8">
        <f t="shared" si="30"/>
        <v>18.873423915299998</v>
      </c>
      <c r="J36" s="9" t="s">
        <v>8</v>
      </c>
    </row>
    <row r="37" spans="8:10" ht="15.75" customHeight="1"/>
    <row r="38" spans="8:10" ht="15.75" customHeight="1"/>
    <row r="39" spans="8:10" ht="15.75" customHeight="1"/>
    <row r="40" spans="8:10" ht="15.75" customHeight="1"/>
    <row r="41" spans="8:10" ht="15.75" customHeight="1"/>
    <row r="42" spans="8:10" ht="15.75" customHeight="1"/>
    <row r="43" spans="8:10" ht="15.75" customHeight="1"/>
    <row r="44" spans="8:10" ht="15.75" customHeight="1"/>
    <row r="45" spans="8:10" ht="15.75" customHeight="1"/>
    <row r="46" spans="8:10" ht="15.75" customHeight="1"/>
    <row r="47" spans="8:10" ht="15.75" customHeight="1"/>
    <row r="48" spans="8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workbookViewId="0"/>
  </sheetViews>
  <sheetFormatPr defaultColWidth="11.25" defaultRowHeight="15" customHeight="1"/>
  <cols>
    <col min="1" max="26" width="10.5" customWidth="1"/>
  </cols>
  <sheetData>
    <row r="1" spans="1:9" ht="15.75" customHeight="1">
      <c r="B1" s="1" t="s">
        <v>0</v>
      </c>
      <c r="C1" s="1"/>
      <c r="E1" s="2" t="s">
        <v>1</v>
      </c>
      <c r="F1" s="2"/>
      <c r="H1" s="3" t="s">
        <v>3</v>
      </c>
      <c r="I1" s="3"/>
    </row>
    <row r="2" spans="1:9" ht="15.75" customHeight="1">
      <c r="A2" s="4" t="s">
        <v>19</v>
      </c>
      <c r="B2" s="5">
        <v>250</v>
      </c>
      <c r="C2" s="5">
        <v>-1.3986013990000001E-2</v>
      </c>
      <c r="E2" s="6">
        <v>250.5928854</v>
      </c>
      <c r="F2" s="6">
        <v>0</v>
      </c>
      <c r="H2" s="7">
        <f t="shared" ref="H2:I2" si="0">E2-B2</f>
        <v>0.59288540000000012</v>
      </c>
      <c r="I2" s="7">
        <f t="shared" si="0"/>
        <v>1.3986013990000001E-2</v>
      </c>
    </row>
    <row r="3" spans="1:9" ht="15.75" customHeight="1">
      <c r="B3" s="5">
        <v>300.1655629</v>
      </c>
      <c r="C3" s="5">
        <v>4.1958041959999998E-2</v>
      </c>
      <c r="E3" s="6">
        <v>298.02371540000001</v>
      </c>
      <c r="F3" s="6">
        <v>6.8796068799999999E-2</v>
      </c>
      <c r="H3" s="7">
        <f t="shared" ref="H3:I3" si="1">E3-B3</f>
        <v>-2.141847499999983</v>
      </c>
      <c r="I3" s="7">
        <f t="shared" si="1"/>
        <v>2.6838026840000001E-2</v>
      </c>
    </row>
    <row r="4" spans="1:9" ht="15.75" customHeight="1">
      <c r="B4" s="5">
        <v>349.33774829999999</v>
      </c>
      <c r="C4" s="5">
        <v>1.3986013990000001E-2</v>
      </c>
      <c r="E4" s="6">
        <v>347.23320159999997</v>
      </c>
      <c r="F4" s="6">
        <v>0.1375921376</v>
      </c>
      <c r="H4" s="7">
        <f t="shared" ref="H4:I4" si="2">E4-B4</f>
        <v>-2.1045467000000144</v>
      </c>
      <c r="I4" s="7">
        <f t="shared" si="2"/>
        <v>0.12360612360999999</v>
      </c>
    </row>
    <row r="5" spans="1:9" ht="15.75" customHeight="1">
      <c r="B5" s="5">
        <v>400.99337750000001</v>
      </c>
      <c r="C5" s="5">
        <v>0.18181818180000001</v>
      </c>
      <c r="E5" s="6">
        <v>395.25691699999999</v>
      </c>
      <c r="F5" s="6">
        <v>0.27518427519999999</v>
      </c>
      <c r="H5" s="7">
        <f t="shared" ref="H5:I5" si="3">E5-B5</f>
        <v>-5.7364605000000211</v>
      </c>
      <c r="I5" s="7">
        <f t="shared" si="3"/>
        <v>9.3366093399999989E-2</v>
      </c>
    </row>
    <row r="6" spans="1:9" ht="15.75" customHeight="1">
      <c r="B6" s="5">
        <v>449.6688742</v>
      </c>
      <c r="C6" s="5">
        <v>0.20979020979999999</v>
      </c>
      <c r="E6" s="6">
        <v>444.4664032</v>
      </c>
      <c r="F6" s="6">
        <v>0.37837837839999999</v>
      </c>
      <c r="H6" s="7">
        <f t="shared" ref="H6:I6" si="4">E6-B6</f>
        <v>-5.2024710000000027</v>
      </c>
      <c r="I6" s="7">
        <f t="shared" si="4"/>
        <v>0.1685881686</v>
      </c>
    </row>
    <row r="7" spans="1:9" ht="15.75" customHeight="1">
      <c r="B7" s="5">
        <v>500.3311258</v>
      </c>
      <c r="C7" s="5">
        <v>0.26573426570000003</v>
      </c>
      <c r="E7" s="6">
        <v>493.67588929999999</v>
      </c>
      <c r="F7" s="6">
        <v>0.41277641279999999</v>
      </c>
      <c r="H7" s="7">
        <f t="shared" ref="H7:I7" si="5">E7-B7</f>
        <v>-6.6552365000000009</v>
      </c>
      <c r="I7" s="7">
        <f t="shared" si="5"/>
        <v>0.14704214709999996</v>
      </c>
    </row>
    <row r="8" spans="1:9" ht="15.75" customHeight="1">
      <c r="B8" s="5">
        <v>551.4900662</v>
      </c>
      <c r="C8" s="5">
        <v>0.26573426570000003</v>
      </c>
      <c r="E8" s="6">
        <v>542.29249010000001</v>
      </c>
      <c r="F8" s="6">
        <v>0.44717444719999999</v>
      </c>
      <c r="H8" s="7">
        <f t="shared" ref="H8:I8" si="6">E8-B8</f>
        <v>-9.197576099999992</v>
      </c>
      <c r="I8" s="7">
        <f t="shared" si="6"/>
        <v>0.18144018149999996</v>
      </c>
    </row>
    <row r="9" spans="1:9" ht="15.75" customHeight="1">
      <c r="B9" s="5"/>
      <c r="C9" s="5"/>
      <c r="E9" s="6"/>
      <c r="F9" s="6"/>
      <c r="H9" s="7"/>
      <c r="I9" s="7"/>
    </row>
    <row r="10" spans="1:9" ht="15.75" customHeight="1">
      <c r="A10" s="4" t="s">
        <v>20</v>
      </c>
      <c r="B10" s="5">
        <v>249.50331130000001</v>
      </c>
      <c r="C10" s="5">
        <v>-6.9930069930000005E-2</v>
      </c>
      <c r="E10" s="6">
        <v>250</v>
      </c>
      <c r="F10" s="6">
        <v>3.4398034399999999E-2</v>
      </c>
      <c r="H10" s="7">
        <f t="shared" ref="H10:I10" si="7">E10-B10</f>
        <v>0.49668869999999288</v>
      </c>
      <c r="I10" s="7">
        <f t="shared" si="7"/>
        <v>0.10432810433</v>
      </c>
    </row>
    <row r="11" spans="1:9" ht="15.75" customHeight="1">
      <c r="B11" s="5">
        <v>300.66225170000001</v>
      </c>
      <c r="C11" s="5">
        <v>-6.9930069930000005E-2</v>
      </c>
      <c r="E11" s="6">
        <v>298.61660080000001</v>
      </c>
      <c r="F11" s="6">
        <v>6.8796068799999999E-2</v>
      </c>
      <c r="H11" s="7">
        <f t="shared" ref="H11:I11" si="8">E11-B11</f>
        <v>-2.0456508999999983</v>
      </c>
      <c r="I11" s="7">
        <f t="shared" si="8"/>
        <v>0.13872613873</v>
      </c>
    </row>
    <row r="12" spans="1:9" ht="15.75" customHeight="1">
      <c r="B12" s="5">
        <v>348.84105959999999</v>
      </c>
      <c r="C12" s="5">
        <v>0.1538461538</v>
      </c>
      <c r="E12" s="6">
        <v>346.64031619999997</v>
      </c>
      <c r="F12" s="6">
        <v>0.27518427519999999</v>
      </c>
      <c r="H12" s="7">
        <f t="shared" ref="H12:I12" si="9">E12-B12</f>
        <v>-2.2007434000000217</v>
      </c>
      <c r="I12" s="7">
        <f t="shared" si="9"/>
        <v>0.1213381214</v>
      </c>
    </row>
    <row r="13" spans="1:9" ht="15.75" customHeight="1">
      <c r="B13" s="5">
        <v>399.00662249999999</v>
      </c>
      <c r="C13" s="5">
        <v>0.74125874130000002</v>
      </c>
      <c r="E13" s="6">
        <v>394.66403159999999</v>
      </c>
      <c r="F13" s="6">
        <v>0.82555282559999998</v>
      </c>
      <c r="H13" s="7">
        <f t="shared" ref="H13:I13" si="10">E13-B13</f>
        <v>-4.3425909000000047</v>
      </c>
      <c r="I13" s="7">
        <f t="shared" si="10"/>
        <v>8.4294084299999961E-2</v>
      </c>
    </row>
    <row r="14" spans="1:9" ht="15.75" customHeight="1">
      <c r="B14" s="5">
        <v>449.6688742</v>
      </c>
      <c r="C14" s="5">
        <v>1.7482517479999999</v>
      </c>
      <c r="E14" s="6">
        <v>443.8735178</v>
      </c>
      <c r="F14" s="6">
        <v>1.8574938569999999</v>
      </c>
      <c r="H14" s="7">
        <f t="shared" ref="H14:I14" si="11">E14-B14</f>
        <v>-5.7953564000000028</v>
      </c>
      <c r="I14" s="7">
        <f t="shared" si="11"/>
        <v>0.10924210899999998</v>
      </c>
    </row>
    <row r="15" spans="1:9" ht="15.75" customHeight="1">
      <c r="B15" s="5">
        <v>500.3311258</v>
      </c>
      <c r="C15" s="5">
        <v>2.923076923</v>
      </c>
      <c r="E15" s="6">
        <v>492.49011860000002</v>
      </c>
      <c r="F15" s="6">
        <v>2.9582309580000001</v>
      </c>
      <c r="H15" s="7">
        <f t="shared" ref="H15:I15" si="12">E15-B15</f>
        <v>-7.8410071999999786</v>
      </c>
      <c r="I15" s="7">
        <f t="shared" si="12"/>
        <v>3.5154035000000139E-2</v>
      </c>
    </row>
    <row r="16" spans="1:9" ht="15.75" customHeight="1">
      <c r="B16" s="5">
        <v>550</v>
      </c>
      <c r="C16" s="5">
        <v>3.3986013989999999</v>
      </c>
      <c r="E16" s="6">
        <v>541.69960470000001</v>
      </c>
      <c r="F16" s="6">
        <v>3.474201474</v>
      </c>
      <c r="H16" s="7">
        <f t="shared" ref="H16:I16" si="13">E16-B16</f>
        <v>-8.300395299999991</v>
      </c>
      <c r="I16" s="7">
        <f t="shared" si="13"/>
        <v>7.56000750000001E-2</v>
      </c>
    </row>
    <row r="17" spans="1:9" ht="15.75" customHeight="1">
      <c r="B17" s="5"/>
      <c r="C17" s="5"/>
      <c r="E17" s="6"/>
      <c r="F17" s="6"/>
      <c r="H17" s="7"/>
      <c r="I17" s="7"/>
    </row>
    <row r="18" spans="1:9" ht="15.75" customHeight="1">
      <c r="A18" s="4" t="s">
        <v>21</v>
      </c>
      <c r="B18" s="5">
        <v>249.50331130000001</v>
      </c>
      <c r="C18" s="5">
        <v>-6.9930069930000005E-2</v>
      </c>
      <c r="E18" s="6">
        <v>249.4071146</v>
      </c>
      <c r="F18" s="6">
        <v>3.4398034399999999E-2</v>
      </c>
      <c r="H18" s="7">
        <f t="shared" ref="H18:I18" si="14">E18-B18</f>
        <v>-9.619670000000724E-2</v>
      </c>
      <c r="I18" s="7">
        <f t="shared" si="14"/>
        <v>0.10432810433</v>
      </c>
    </row>
    <row r="19" spans="1:9" ht="15.75" customHeight="1">
      <c r="B19" s="5">
        <v>300.66225170000001</v>
      </c>
      <c r="C19" s="5">
        <v>1.3986013990000001E-2</v>
      </c>
      <c r="E19" s="6">
        <v>299.20948620000001</v>
      </c>
      <c r="F19" s="6">
        <v>0</v>
      </c>
      <c r="H19" s="7">
        <f t="shared" ref="H19:I19" si="15">E19-B19</f>
        <v>-1.4527654999999982</v>
      </c>
      <c r="I19" s="7">
        <f t="shared" si="15"/>
        <v>-1.3986013990000001E-2</v>
      </c>
    </row>
    <row r="20" spans="1:9" ht="15.75" customHeight="1">
      <c r="B20" s="5">
        <v>349.8344371</v>
      </c>
      <c r="C20" s="5">
        <v>0.40559440559999999</v>
      </c>
      <c r="E20" s="6">
        <v>346.64031619999997</v>
      </c>
      <c r="F20" s="6">
        <v>0.48157248159999999</v>
      </c>
      <c r="H20" s="7">
        <f t="shared" ref="H20:I20" si="16">E20-B20</f>
        <v>-3.1941209000000299</v>
      </c>
      <c r="I20" s="7">
        <f t="shared" si="16"/>
        <v>7.5978076000000005E-2</v>
      </c>
    </row>
    <row r="21" spans="1:9" ht="15.75" customHeight="1">
      <c r="B21" s="5">
        <v>399.00662249999999</v>
      </c>
      <c r="C21" s="5">
        <v>1.1888111889999999</v>
      </c>
      <c r="E21" s="6">
        <v>394.66403159999999</v>
      </c>
      <c r="F21" s="6">
        <v>1.2727272730000001</v>
      </c>
      <c r="H21" s="7">
        <f t="shared" ref="H21:I21" si="17">E21-B21</f>
        <v>-4.3425909000000047</v>
      </c>
      <c r="I21" s="7">
        <f t="shared" si="17"/>
        <v>8.3916084000000168E-2</v>
      </c>
    </row>
    <row r="22" spans="1:9" ht="15.75" customHeight="1">
      <c r="B22" s="5">
        <v>449.6688742</v>
      </c>
      <c r="C22" s="5">
        <v>2.8391608389999998</v>
      </c>
      <c r="E22" s="6">
        <v>444.4664032</v>
      </c>
      <c r="F22" s="6">
        <v>2.9238329240000001</v>
      </c>
      <c r="H22" s="7">
        <f t="shared" ref="H22:I22" si="18">E22-B22</f>
        <v>-5.2024710000000027</v>
      </c>
      <c r="I22" s="7">
        <f t="shared" si="18"/>
        <v>8.467208500000023E-2</v>
      </c>
    </row>
    <row r="23" spans="1:9" ht="15.75" customHeight="1">
      <c r="B23" s="5">
        <v>499.33774829999999</v>
      </c>
      <c r="C23" s="5">
        <v>4.9650349650000001</v>
      </c>
      <c r="E23" s="6">
        <v>490.71146249999998</v>
      </c>
      <c r="F23" s="6">
        <v>5.0221130220000001</v>
      </c>
      <c r="H23" s="7">
        <f t="shared" ref="H23:I23" si="19">E23-B23</f>
        <v>-8.6262858000000051</v>
      </c>
      <c r="I23" s="7">
        <f t="shared" si="19"/>
        <v>5.7078057000000015E-2</v>
      </c>
    </row>
    <row r="24" spans="1:9" ht="15.75" customHeight="1">
      <c r="B24" s="5">
        <v>550.99337749999995</v>
      </c>
      <c r="C24" s="5">
        <v>6.41958042</v>
      </c>
      <c r="E24" s="6">
        <v>541.69960470000001</v>
      </c>
      <c r="F24" s="6">
        <v>6.5012285009999999</v>
      </c>
      <c r="H24" s="7">
        <f t="shared" ref="H24:I24" si="20">E24-B24</f>
        <v>-9.2937727999999424</v>
      </c>
      <c r="I24" s="7">
        <f t="shared" si="20"/>
        <v>8.1648080999999983E-2</v>
      </c>
    </row>
    <row r="25" spans="1:9" ht="15.75" customHeight="1">
      <c r="B25" s="5"/>
      <c r="C25" s="5"/>
      <c r="E25" s="6"/>
      <c r="F25" s="6"/>
      <c r="H25" s="7"/>
      <c r="I25" s="7"/>
    </row>
    <row r="26" spans="1:9" ht="15.75" customHeight="1">
      <c r="A26" s="4" t="s">
        <v>23</v>
      </c>
      <c r="B26" s="5">
        <v>248.01324500000001</v>
      </c>
      <c r="C26" s="5">
        <v>-6.9930069930000005E-2</v>
      </c>
      <c r="E26" s="6">
        <v>250.5928854</v>
      </c>
      <c r="F26" s="6">
        <v>0</v>
      </c>
      <c r="H26" s="7">
        <f t="shared" ref="H26:I26" si="21">E26-B26</f>
        <v>2.5796403999999882</v>
      </c>
      <c r="I26" s="7">
        <f t="shared" si="21"/>
        <v>6.9930069930000005E-2</v>
      </c>
    </row>
    <row r="27" spans="1:9" ht="15.75" customHeight="1">
      <c r="B27" s="5">
        <v>299.17218539999999</v>
      </c>
      <c r="C27" s="5">
        <v>-0.20979020979999999</v>
      </c>
      <c r="E27" s="6">
        <v>298.61660080000001</v>
      </c>
      <c r="F27" s="6">
        <v>-3.4398034399999999E-2</v>
      </c>
      <c r="H27" s="7">
        <f t="shared" ref="H27:I27" si="22">E27-B27</f>
        <v>-0.55558459999997467</v>
      </c>
      <c r="I27" s="7">
        <f t="shared" si="22"/>
        <v>0.17539217539999999</v>
      </c>
    </row>
    <row r="28" spans="1:9" ht="15.75" customHeight="1">
      <c r="B28" s="5">
        <v>348.84105959999999</v>
      </c>
      <c r="C28" s="5">
        <v>0.57342657340000003</v>
      </c>
      <c r="E28" s="6">
        <v>347.23320159999997</v>
      </c>
      <c r="F28" s="6">
        <v>0.65356265359999999</v>
      </c>
      <c r="H28" s="7">
        <f t="shared" ref="H28:I28" si="23">E28-B28</f>
        <v>-1.6078580000000215</v>
      </c>
      <c r="I28" s="7">
        <f t="shared" si="23"/>
        <v>8.0136080199999959E-2</v>
      </c>
    </row>
    <row r="29" spans="1:9" ht="15.75" customHeight="1">
      <c r="B29" s="5">
        <v>399.50331130000001</v>
      </c>
      <c r="C29" s="5">
        <v>1.944055944</v>
      </c>
      <c r="E29" s="6">
        <v>395.84980239999999</v>
      </c>
      <c r="F29" s="6">
        <v>2.0294840289999998</v>
      </c>
      <c r="H29" s="7">
        <f t="shared" ref="H29:I29" si="24">E29-B29</f>
        <v>-3.6535089000000198</v>
      </c>
      <c r="I29" s="7">
        <f t="shared" si="24"/>
        <v>8.5428084999999765E-2</v>
      </c>
    </row>
    <row r="30" spans="1:9" ht="15.75" customHeight="1">
      <c r="B30" s="5">
        <v>450.66225170000001</v>
      </c>
      <c r="C30" s="5">
        <v>4.8251748250000004</v>
      </c>
      <c r="E30" s="6">
        <v>443.8735178</v>
      </c>
      <c r="F30" s="6">
        <v>4.8845208849999997</v>
      </c>
      <c r="H30" s="7">
        <f t="shared" ref="H30:I30" si="25">E30-B30</f>
        <v>-6.7887339000000111</v>
      </c>
      <c r="I30" s="7">
        <f t="shared" si="25"/>
        <v>5.9346059999999312E-2</v>
      </c>
    </row>
    <row r="31" spans="1:9" ht="15.75" customHeight="1">
      <c r="B31" s="5">
        <v>499.33774829999999</v>
      </c>
      <c r="C31" s="5">
        <v>8.9930069929999998</v>
      </c>
      <c r="E31" s="6">
        <v>492.49011860000002</v>
      </c>
      <c r="F31" s="6">
        <v>9.0810810810000007</v>
      </c>
      <c r="H31" s="7">
        <f t="shared" ref="H31:I31" si="26">E31-B31</f>
        <v>-6.8476296999999704</v>
      </c>
      <c r="I31" s="7">
        <f t="shared" si="26"/>
        <v>8.8074088000000827E-2</v>
      </c>
    </row>
    <row r="32" spans="1:9" ht="15.75" customHeight="1">
      <c r="B32" s="5">
        <v>551.4900662</v>
      </c>
      <c r="C32" s="5">
        <v>12.433566430000001</v>
      </c>
      <c r="E32" s="6">
        <v>542.29249010000001</v>
      </c>
      <c r="F32" s="6">
        <v>12.486486490000001</v>
      </c>
      <c r="H32" s="7">
        <f t="shared" ref="H32:I32" si="27">E32-B32</f>
        <v>-9.197576099999992</v>
      </c>
      <c r="I32" s="7">
        <f t="shared" si="27"/>
        <v>5.2920059999999935E-2</v>
      </c>
    </row>
    <row r="33" spans="8:10" ht="15.75" customHeight="1">
      <c r="H33" s="7"/>
      <c r="I33" s="7"/>
    </row>
    <row r="34" spans="8:10" ht="15.75" customHeight="1">
      <c r="H34" s="8">
        <f t="shared" ref="H34:I34" si="28">AVERAGE(H2:H32)</f>
        <v>-4.2412058107142858</v>
      </c>
      <c r="I34" s="8">
        <f t="shared" si="28"/>
        <v>8.958608980964286E-2</v>
      </c>
      <c r="J34" s="9" t="s">
        <v>6</v>
      </c>
    </row>
    <row r="35" spans="8:10" ht="15.75" customHeight="1">
      <c r="H35" s="8">
        <f t="shared" ref="H35:I35" si="29">MEDIAN(H2:H32)</f>
        <v>-4.3425909000000047</v>
      </c>
      <c r="I35" s="8">
        <f t="shared" si="29"/>
        <v>8.4483084650000095E-2</v>
      </c>
      <c r="J35" s="9" t="s">
        <v>7</v>
      </c>
    </row>
    <row r="36" spans="8:10" ht="15.75" customHeight="1">
      <c r="H36" s="8">
        <f t="shared" ref="H36:I36" si="30">MAX(H2:H35)</f>
        <v>2.5796403999999882</v>
      </c>
      <c r="I36" s="8">
        <f t="shared" si="30"/>
        <v>0.18144018149999996</v>
      </c>
      <c r="J36" s="9" t="s">
        <v>8</v>
      </c>
    </row>
    <row r="37" spans="8:10" ht="15.75" customHeight="1"/>
    <row r="38" spans="8:10" ht="15.75" customHeight="1"/>
    <row r="39" spans="8:10" ht="15.75" customHeight="1"/>
    <row r="40" spans="8:10" ht="15.75" customHeight="1"/>
    <row r="41" spans="8:10" ht="15.75" customHeight="1"/>
    <row r="42" spans="8:10" ht="15.75" customHeight="1"/>
    <row r="43" spans="8:10" ht="15.75" customHeight="1"/>
    <row r="44" spans="8:10" ht="15.75" customHeight="1"/>
    <row r="45" spans="8:10" ht="15.75" customHeight="1"/>
    <row r="46" spans="8:10" ht="15.75" customHeight="1"/>
    <row r="47" spans="8:10" ht="15.75" customHeight="1"/>
    <row r="48" spans="8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00"/>
  <sheetViews>
    <sheetView workbookViewId="0"/>
  </sheetViews>
  <sheetFormatPr defaultColWidth="11.25" defaultRowHeight="15" customHeight="1"/>
  <cols>
    <col min="1" max="26" width="10.5" customWidth="1"/>
  </cols>
  <sheetData>
    <row r="1" spans="1:10" ht="15.75" customHeight="1">
      <c r="B1" s="1" t="s">
        <v>0</v>
      </c>
      <c r="C1" s="1"/>
      <c r="E1" s="2" t="s">
        <v>1</v>
      </c>
      <c r="F1" s="2"/>
      <c r="H1" s="3" t="s">
        <v>3</v>
      </c>
      <c r="I1" s="3"/>
    </row>
    <row r="2" spans="1:10" ht="15.75" customHeight="1">
      <c r="A2" s="4" t="s">
        <v>24</v>
      </c>
      <c r="B2" s="5">
        <v>248.0467854</v>
      </c>
      <c r="C2" s="5">
        <v>3.9370078740000002E-2</v>
      </c>
      <c r="E2" s="6">
        <v>249.13793100000001</v>
      </c>
      <c r="F2" s="6">
        <v>4.1994750660000003E-2</v>
      </c>
      <c r="H2" s="7">
        <f t="shared" ref="H2:I2" si="0">E2-B2</f>
        <v>1.0911456000000044</v>
      </c>
      <c r="I2" s="7">
        <f t="shared" si="0"/>
        <v>2.6246719200000018E-3</v>
      </c>
    </row>
    <row r="3" spans="1:10" ht="15.75" customHeight="1">
      <c r="B3" s="5">
        <v>298.98899169999999</v>
      </c>
      <c r="C3" s="5">
        <v>0.15748031500000001</v>
      </c>
      <c r="E3" s="6">
        <v>298.92241380000002</v>
      </c>
      <c r="F3" s="6">
        <v>0.17847769029999999</v>
      </c>
      <c r="H3" s="7">
        <f t="shared" ref="H3:I3" si="1">E3-B3</f>
        <v>-6.6577899999970214E-2</v>
      </c>
      <c r="I3" s="7">
        <f t="shared" si="1"/>
        <v>2.0997375299999982E-2</v>
      </c>
    </row>
    <row r="4" spans="1:10" ht="15.75" customHeight="1">
      <c r="B4" s="5">
        <v>350.84186990000001</v>
      </c>
      <c r="C4" s="5">
        <v>0.52362204720000005</v>
      </c>
      <c r="E4" s="6">
        <v>350.64655169999997</v>
      </c>
      <c r="F4" s="6">
        <v>0.54593175849999998</v>
      </c>
      <c r="H4" s="7">
        <f t="shared" ref="H4:I4" si="2">E4-B4</f>
        <v>-0.19531820000003108</v>
      </c>
      <c r="I4" s="7">
        <f t="shared" si="2"/>
        <v>2.2309711299999924E-2</v>
      </c>
    </row>
    <row r="5" spans="1:10" ht="15.75" customHeight="1">
      <c r="B5" s="5">
        <v>400.6708203</v>
      </c>
      <c r="C5" s="5">
        <v>1.228346457</v>
      </c>
      <c r="E5" s="6">
        <v>399.78448279999998</v>
      </c>
      <c r="F5" s="6">
        <v>1.228346457</v>
      </c>
      <c r="H5" s="7">
        <f t="shared" ref="H5:I5" si="3">E5-B5</f>
        <v>-0.88633750000002465</v>
      </c>
      <c r="I5" s="7">
        <f t="shared" si="3"/>
        <v>0</v>
      </c>
    </row>
    <row r="6" spans="1:10" ht="15.75" customHeight="1">
      <c r="B6" s="5">
        <v>452.46923020000003</v>
      </c>
      <c r="C6" s="5">
        <v>1.8188976379999999</v>
      </c>
      <c r="E6" s="6">
        <v>449.56896549999999</v>
      </c>
      <c r="F6" s="6">
        <v>1.8162729660000001</v>
      </c>
      <c r="H6" s="7">
        <f t="shared" ref="H6:I6" si="4">E6-B6</f>
        <v>-2.9002647000000366</v>
      </c>
      <c r="I6" s="7">
        <f t="shared" si="4"/>
        <v>-2.624671999999828E-3</v>
      </c>
    </row>
    <row r="7" spans="1:10" ht="15.75" customHeight="1">
      <c r="B7" s="5"/>
      <c r="C7" s="5"/>
      <c r="E7" s="6"/>
      <c r="F7" s="6"/>
      <c r="H7" s="7"/>
      <c r="I7" s="7"/>
    </row>
    <row r="8" spans="1:10" ht="15.75" customHeight="1">
      <c r="A8" s="4" t="s">
        <v>25</v>
      </c>
      <c r="B8" s="5">
        <v>248.54177820000001</v>
      </c>
      <c r="C8" s="5">
        <v>0</v>
      </c>
      <c r="E8" s="6">
        <v>249.13793100000001</v>
      </c>
      <c r="F8" s="6">
        <v>4.1994750660000003E-2</v>
      </c>
      <c r="H8" s="7">
        <f t="shared" ref="H8:I8" si="5">E8-B8</f>
        <v>0.59615279999999871</v>
      </c>
      <c r="I8" s="7">
        <f t="shared" si="5"/>
        <v>4.1994750660000003E-2</v>
      </c>
    </row>
    <row r="9" spans="1:10" ht="15.75" customHeight="1">
      <c r="B9" s="5">
        <v>298.53986700000002</v>
      </c>
      <c r="C9" s="5">
        <v>7.8740157480000003E-3</v>
      </c>
      <c r="E9" s="6">
        <v>298.92241380000002</v>
      </c>
      <c r="F9" s="6">
        <v>0.17847769029999999</v>
      </c>
      <c r="H9" s="7">
        <f t="shared" ref="H9:I9" si="6">E9-B9</f>
        <v>0.38254680000000008</v>
      </c>
      <c r="I9" s="7">
        <f t="shared" si="6"/>
        <v>0.17060367455199998</v>
      </c>
    </row>
    <row r="10" spans="1:10" ht="15.75" customHeight="1">
      <c r="B10" s="5">
        <v>351.44388809999998</v>
      </c>
      <c r="C10" s="5">
        <v>4.3307086609999997E-2</v>
      </c>
      <c r="E10" s="6">
        <v>350.64655169999997</v>
      </c>
      <c r="F10" s="6">
        <v>0.54593175849999998</v>
      </c>
      <c r="H10" s="7">
        <f t="shared" ref="H10:I10" si="7">E10-B10</f>
        <v>-0.79733640000000605</v>
      </c>
      <c r="I10" s="7">
        <f t="shared" si="7"/>
        <v>0.50262467188999993</v>
      </c>
    </row>
    <row r="11" spans="1:10" ht="15.75" customHeight="1">
      <c r="B11" s="5">
        <v>400.92022780000002</v>
      </c>
      <c r="C11" s="5">
        <v>0.2007874016</v>
      </c>
      <c r="E11" s="6">
        <v>399.78448279999998</v>
      </c>
      <c r="F11" s="6">
        <v>1.228346457</v>
      </c>
      <c r="H11" s="7">
        <f t="shared" ref="H11:I11" si="8">E11-B11</f>
        <v>-1.1357450000000426</v>
      </c>
      <c r="I11" s="7">
        <f t="shared" si="8"/>
        <v>1.0275590554</v>
      </c>
    </row>
    <row r="12" spans="1:10" ht="15.75" customHeight="1">
      <c r="B12" s="5">
        <v>449.84137299999998</v>
      </c>
      <c r="C12" s="5">
        <v>0.64566929129999995</v>
      </c>
      <c r="E12" s="6">
        <v>449.56896549999999</v>
      </c>
      <c r="F12" s="6">
        <v>1.8162729660000001</v>
      </c>
      <c r="H12" s="7">
        <f t="shared" ref="H12:I12" si="9">E12-B12</f>
        <v>-0.2724074999999857</v>
      </c>
      <c r="I12" s="7">
        <f t="shared" si="9"/>
        <v>1.1706036747000002</v>
      </c>
    </row>
    <row r="13" spans="1:10" ht="15.75" customHeight="1">
      <c r="H13" s="7"/>
      <c r="I13" s="7"/>
    </row>
    <row r="14" spans="1:10" ht="15.75" customHeight="1">
      <c r="H14" s="8">
        <f t="shared" ref="H14:I14" si="10">AVERAGE(H2:H12)</f>
        <v>-0.4184142000000094</v>
      </c>
      <c r="I14" s="8">
        <f t="shared" si="10"/>
        <v>0.29566929137219999</v>
      </c>
      <c r="J14" s="9" t="s">
        <v>6</v>
      </c>
    </row>
    <row r="15" spans="1:10" ht="15.75" customHeight="1">
      <c r="H15" s="8">
        <f t="shared" ref="H15:I15" si="11">MEDIAN(H2:H12)</f>
        <v>-0.23386285000000839</v>
      </c>
      <c r="I15" s="8">
        <f t="shared" si="11"/>
        <v>3.215223097999996E-2</v>
      </c>
      <c r="J15" s="9" t="s">
        <v>7</v>
      </c>
    </row>
    <row r="16" spans="1:10" ht="15.75" customHeight="1">
      <c r="H16" s="8">
        <f t="shared" ref="H16:I16" si="12">MAX(H2:H15)</f>
        <v>1.0911456000000044</v>
      </c>
      <c r="I16" s="8">
        <f t="shared" si="12"/>
        <v>1.1706036747000002</v>
      </c>
      <c r="J16" s="9" t="s">
        <v>8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00"/>
  <sheetViews>
    <sheetView workbookViewId="0"/>
  </sheetViews>
  <sheetFormatPr defaultColWidth="11.25" defaultRowHeight="15" customHeight="1"/>
  <cols>
    <col min="1" max="26" width="10.5" customWidth="1"/>
  </cols>
  <sheetData>
    <row r="1" spans="1:9" ht="15.75" customHeight="1">
      <c r="B1" s="1" t="s">
        <v>0</v>
      </c>
      <c r="C1" s="1"/>
      <c r="E1" s="2" t="s">
        <v>1</v>
      </c>
      <c r="F1" s="2"/>
      <c r="H1" s="3" t="s">
        <v>3</v>
      </c>
      <c r="I1" s="3"/>
    </row>
    <row r="2" spans="1:9" ht="15.75" customHeight="1">
      <c r="A2" s="4" t="s">
        <v>4</v>
      </c>
      <c r="B2" s="5">
        <v>100.1475279</v>
      </c>
      <c r="C2" s="5">
        <v>98.089186459999993</v>
      </c>
      <c r="E2" s="6">
        <v>99.601593629999996</v>
      </c>
      <c r="F2" s="6">
        <v>98.792270529999996</v>
      </c>
      <c r="H2" s="7">
        <f t="shared" ref="H2:I2" si="0">E2-B2</f>
        <v>-0.54593427000000361</v>
      </c>
      <c r="I2" s="7">
        <f t="shared" si="0"/>
        <v>0.70308407000000273</v>
      </c>
    </row>
    <row r="3" spans="1:9" ht="15.75" customHeight="1">
      <c r="B3" s="5">
        <v>90.192325729999993</v>
      </c>
      <c r="C3" s="5">
        <v>90.596716229999998</v>
      </c>
      <c r="E3" s="6">
        <v>90.039840639999994</v>
      </c>
      <c r="F3" s="6">
        <v>91.545893719999995</v>
      </c>
      <c r="H3" s="7">
        <f t="shared" ref="H3:I3" si="1">E3-B3</f>
        <v>-0.15248508999999899</v>
      </c>
      <c r="I3" s="7">
        <f t="shared" si="1"/>
        <v>0.94917748999999674</v>
      </c>
    </row>
    <row r="4" spans="1:9" ht="15.75" customHeight="1">
      <c r="B4" s="5">
        <v>60.93934703</v>
      </c>
      <c r="C4" s="5">
        <v>55.135736360000003</v>
      </c>
      <c r="E4" s="6">
        <v>60.75697211</v>
      </c>
      <c r="F4" s="6">
        <v>54.589371980000003</v>
      </c>
      <c r="H4" s="7">
        <f t="shared" ref="H4:I4" si="2">E4-B4</f>
        <v>-0.18237492000000088</v>
      </c>
      <c r="I4" s="7">
        <f t="shared" si="2"/>
        <v>-0.54636437999999998</v>
      </c>
    </row>
    <row r="5" spans="1:9" ht="15.75" customHeight="1">
      <c r="B5" s="5">
        <v>49.452575289999999</v>
      </c>
      <c r="C5" s="5">
        <v>43.936464620000002</v>
      </c>
      <c r="E5" s="6">
        <v>49.003984060000001</v>
      </c>
      <c r="F5" s="6">
        <v>44.685990339999996</v>
      </c>
      <c r="H5" s="7">
        <f t="shared" ref="H5:I5" si="3">E5-B5</f>
        <v>-0.44859122999999812</v>
      </c>
      <c r="I5" s="7">
        <f t="shared" si="3"/>
        <v>0.74952571999999407</v>
      </c>
    </row>
    <row r="6" spans="1:9" ht="15.75" customHeight="1">
      <c r="B6" s="5">
        <v>39.522899270000003</v>
      </c>
      <c r="C6" s="5">
        <v>37.723147539999999</v>
      </c>
      <c r="E6" s="6">
        <v>38.844621510000003</v>
      </c>
      <c r="F6" s="6">
        <v>36.473429950000003</v>
      </c>
      <c r="H6" s="7">
        <f t="shared" ref="H6:I6" si="4">E6-B6</f>
        <v>-0.67827776000000028</v>
      </c>
      <c r="I6" s="7">
        <f t="shared" si="4"/>
        <v>-1.2497175899999959</v>
      </c>
    </row>
    <row r="7" spans="1:9" ht="15.75" customHeight="1">
      <c r="B7" s="5">
        <v>40.350877189999999</v>
      </c>
      <c r="C7" s="5">
        <v>39.959040860000002</v>
      </c>
      <c r="E7" s="6">
        <v>39.840637450000003</v>
      </c>
      <c r="F7" s="6">
        <v>40.338164249999998</v>
      </c>
      <c r="H7" s="7">
        <f t="shared" ref="H7:I7" si="5">E7-B7</f>
        <v>-0.51023973999999583</v>
      </c>
      <c r="I7" s="7">
        <f t="shared" si="5"/>
        <v>0.37912338999999662</v>
      </c>
    </row>
    <row r="8" spans="1:9" ht="15.75" customHeight="1">
      <c r="B8" s="5">
        <v>36.036025889999998</v>
      </c>
      <c r="C8" s="5">
        <v>36.368194920000001</v>
      </c>
      <c r="E8" s="6">
        <v>35.657370520000001</v>
      </c>
      <c r="F8" s="6">
        <v>37.198067629999997</v>
      </c>
      <c r="H8" s="7">
        <f t="shared" ref="H8:I8" si="6">E8-B8</f>
        <v>-0.37865536999999705</v>
      </c>
      <c r="I8" s="7">
        <f t="shared" si="6"/>
        <v>0.82987270999999652</v>
      </c>
    </row>
    <row r="9" spans="1:9" ht="15.75" customHeight="1">
      <c r="B9" s="5">
        <v>29.505582140000001</v>
      </c>
      <c r="C9" s="5">
        <v>32.707007439999998</v>
      </c>
      <c r="E9" s="6">
        <v>29.48207171</v>
      </c>
      <c r="F9" s="6">
        <v>33.333333330000002</v>
      </c>
      <c r="H9" s="7">
        <f t="shared" ref="H9:I9" si="7">E9-B9</f>
        <v>-2.3510430000001747E-2</v>
      </c>
      <c r="I9" s="7">
        <f t="shared" si="7"/>
        <v>0.62632589000000394</v>
      </c>
    </row>
    <row r="10" spans="1:9" ht="15.75" customHeight="1">
      <c r="B10" s="5">
        <v>25.19936204</v>
      </c>
      <c r="C10" s="5">
        <v>30.036397919999999</v>
      </c>
      <c r="E10" s="6">
        <v>25.099601589999999</v>
      </c>
      <c r="F10" s="6">
        <v>30.6763285</v>
      </c>
      <c r="H10" s="7">
        <f t="shared" ref="H10:I10" si="8">E10-B10</f>
        <v>-9.9760450000001555E-2</v>
      </c>
      <c r="I10" s="7">
        <f t="shared" si="8"/>
        <v>0.63993058000000147</v>
      </c>
    </row>
    <row r="11" spans="1:9" ht="15.75" customHeight="1">
      <c r="B11" s="5">
        <v>24.85879242</v>
      </c>
      <c r="C11" s="5">
        <v>27.471957629999999</v>
      </c>
      <c r="E11" s="6">
        <v>24.50199203</v>
      </c>
      <c r="F11" s="6">
        <v>27.777777780000001</v>
      </c>
      <c r="H11" s="7">
        <f t="shared" ref="H11:I11" si="9">E11-B11</f>
        <v>-0.35680039000000008</v>
      </c>
      <c r="I11" s="7">
        <f t="shared" si="9"/>
        <v>0.3058201500000024</v>
      </c>
    </row>
    <row r="12" spans="1:9" ht="15.75" customHeight="1">
      <c r="B12" s="5">
        <v>27.551130499999999</v>
      </c>
      <c r="C12" s="5">
        <v>27.01066814</v>
      </c>
      <c r="E12" s="6">
        <v>27.091633470000001</v>
      </c>
      <c r="F12" s="6">
        <v>27.0531401</v>
      </c>
      <c r="H12" s="7">
        <f t="shared" ref="H12:I12" si="10">E12-B12</f>
        <v>-0.45949702999999786</v>
      </c>
      <c r="I12" s="7">
        <f t="shared" si="10"/>
        <v>4.2471960000000308E-2</v>
      </c>
    </row>
    <row r="13" spans="1:9" ht="15.75" customHeight="1">
      <c r="B13" s="5">
        <v>22.343793980000001</v>
      </c>
      <c r="C13" s="5">
        <v>21.92243036</v>
      </c>
      <c r="E13" s="6">
        <v>22.111553780000001</v>
      </c>
      <c r="F13" s="6">
        <v>22.463768120000001</v>
      </c>
      <c r="H13" s="7">
        <f t="shared" ref="H13:I13" si="11">E13-B13</f>
        <v>-0.23224019999999967</v>
      </c>
      <c r="I13" s="7">
        <f t="shared" si="11"/>
        <v>0.54133776000000111</v>
      </c>
    </row>
    <row r="14" spans="1:9" ht="15.75" customHeight="1">
      <c r="B14" s="5">
        <v>21.212121209999999</v>
      </c>
      <c r="C14" s="5">
        <v>20.838652209999999</v>
      </c>
      <c r="E14" s="6">
        <v>21.115537849999999</v>
      </c>
      <c r="F14" s="6">
        <v>21.014492749999999</v>
      </c>
      <c r="H14" s="7">
        <f t="shared" ref="H14:I14" si="12">E14-B14</f>
        <v>-9.658336000000034E-2</v>
      </c>
      <c r="I14" s="7">
        <f t="shared" si="12"/>
        <v>0.17584053999999938</v>
      </c>
    </row>
    <row r="15" spans="1:9" ht="15.75" customHeight="1">
      <c r="B15" s="5">
        <v>19.447735160000001</v>
      </c>
      <c r="C15" s="5">
        <v>18.414759239999999</v>
      </c>
      <c r="E15" s="6">
        <v>18.525896410000001</v>
      </c>
      <c r="F15" s="6">
        <v>18.115942029999999</v>
      </c>
      <c r="H15" s="7">
        <f t="shared" ref="H15:I15" si="13">E15-B15</f>
        <v>-0.92183874999999915</v>
      </c>
      <c r="I15" s="7">
        <f t="shared" si="13"/>
        <v>-0.29881720999999928</v>
      </c>
    </row>
    <row r="16" spans="1:9" ht="15.75" customHeight="1">
      <c r="B16" s="5">
        <v>16.429579189999998</v>
      </c>
      <c r="C16" s="5">
        <v>14.85549312</v>
      </c>
      <c r="E16" s="6">
        <v>16.13545817</v>
      </c>
      <c r="F16" s="6">
        <v>15.700483090000001</v>
      </c>
      <c r="H16" s="7">
        <f t="shared" ref="H16:I16" si="14">E16-B16</f>
        <v>-0.29412101999999862</v>
      </c>
      <c r="I16" s="7">
        <f t="shared" si="14"/>
        <v>0.84498997000000031</v>
      </c>
    </row>
    <row r="17" spans="1:9" ht="15.75" customHeight="1">
      <c r="B17" s="5">
        <v>17.224880379999998</v>
      </c>
      <c r="C17" s="5">
        <v>13.94416944</v>
      </c>
      <c r="E17" s="6">
        <v>17.330677290000001</v>
      </c>
      <c r="F17" s="6">
        <v>14.73429952</v>
      </c>
      <c r="H17" s="7">
        <f t="shared" ref="H17:I17" si="15">E17-B17</f>
        <v>0.10579691000000224</v>
      </c>
      <c r="I17" s="7">
        <f t="shared" si="15"/>
        <v>0.79013008000000085</v>
      </c>
    </row>
    <row r="18" spans="1:9" ht="15.75" customHeight="1">
      <c r="B18" s="5">
        <v>10.091237449999999</v>
      </c>
      <c r="C18" s="5">
        <v>7.9408562429999998</v>
      </c>
      <c r="E18" s="6">
        <v>9.7609561750000005</v>
      </c>
      <c r="F18" s="6">
        <v>7.9710144930000002</v>
      </c>
      <c r="H18" s="7">
        <f t="shared" ref="H18:I18" si="16">E18-B18</f>
        <v>-0.33028127499999904</v>
      </c>
      <c r="I18" s="7">
        <f t="shared" si="16"/>
        <v>3.0158250000000386E-2</v>
      </c>
    </row>
    <row r="19" spans="1:9" ht="15.75" customHeight="1">
      <c r="B19" s="5">
        <v>8.4529505579999995</v>
      </c>
      <c r="C19" s="5">
        <v>10.90682561</v>
      </c>
      <c r="E19" s="6">
        <v>8.5657370519999994</v>
      </c>
      <c r="F19" s="6">
        <v>10.86956522</v>
      </c>
      <c r="H19" s="7">
        <f t="shared" ref="H19:I19" si="17">E19-B19</f>
        <v>0.11278649399999985</v>
      </c>
      <c r="I19" s="7">
        <f t="shared" si="17"/>
        <v>-3.7260390000000143E-2</v>
      </c>
    </row>
    <row r="20" spans="1:9" ht="15.75" customHeight="1">
      <c r="B20" s="5">
        <v>6.5175751320000002</v>
      </c>
      <c r="C20" s="5">
        <v>5.4970081960000003</v>
      </c>
      <c r="E20" s="6">
        <v>6.1752988049999997</v>
      </c>
      <c r="F20" s="6">
        <v>4.5893719810000002</v>
      </c>
      <c r="H20" s="7">
        <f t="shared" ref="H20:I20" si="18">E20-B20</f>
        <v>-0.34227632700000044</v>
      </c>
      <c r="I20" s="7">
        <f t="shared" si="18"/>
        <v>-0.90763621500000013</v>
      </c>
    </row>
    <row r="21" spans="1:9" ht="15.75" customHeight="1">
      <c r="B21" s="5">
        <v>2.0733652309999999</v>
      </c>
      <c r="C21" s="5">
        <v>3.2537721899999998</v>
      </c>
      <c r="E21" s="6">
        <v>3.1872509959999999</v>
      </c>
      <c r="F21" s="6">
        <v>3.381642512</v>
      </c>
      <c r="H21" s="7">
        <f t="shared" ref="H21:I21" si="19">E21-B21</f>
        <v>1.113885765</v>
      </c>
      <c r="I21" s="7">
        <f t="shared" si="19"/>
        <v>0.12787032200000015</v>
      </c>
    </row>
    <row r="22" spans="1:9" ht="15.75" customHeight="1">
      <c r="B22" s="5">
        <v>0.95693779899999998</v>
      </c>
      <c r="C22" s="5">
        <v>4.0258122189999996</v>
      </c>
      <c r="E22" s="6">
        <v>1.394422311</v>
      </c>
      <c r="F22" s="6">
        <v>3.381642512</v>
      </c>
      <c r="H22" s="7">
        <f t="shared" ref="H22:I22" si="20">E22-B22</f>
        <v>0.43748451200000005</v>
      </c>
      <c r="I22" s="7">
        <f t="shared" si="20"/>
        <v>-0.64416970699999965</v>
      </c>
    </row>
    <row r="23" spans="1:9" ht="15.75" customHeight="1">
      <c r="B23" s="5">
        <v>0.253155301</v>
      </c>
      <c r="C23" s="5">
        <v>0.66137296879999996</v>
      </c>
      <c r="E23" s="6">
        <v>0</v>
      </c>
      <c r="F23" s="6">
        <v>0.24154589369999999</v>
      </c>
      <c r="H23" s="7">
        <f t="shared" ref="H23:I23" si="21">E23-B23</f>
        <v>-0.253155301</v>
      </c>
      <c r="I23" s="7">
        <f t="shared" si="21"/>
        <v>-0.41982707509999995</v>
      </c>
    </row>
    <row r="24" spans="1:9" ht="15.75" customHeight="1">
      <c r="B24" s="5"/>
      <c r="C24" s="5"/>
      <c r="E24" s="6"/>
      <c r="F24" s="6"/>
      <c r="H24" s="7"/>
      <c r="I24" s="7"/>
    </row>
    <row r="25" spans="1:9" ht="15.75" customHeight="1">
      <c r="A25" s="4" t="s">
        <v>5</v>
      </c>
      <c r="B25" s="5">
        <v>6.8749413639999997</v>
      </c>
      <c r="C25" s="5">
        <v>12.477173240000001</v>
      </c>
      <c r="E25" s="6">
        <v>7.1908112229999999</v>
      </c>
      <c r="F25" s="6">
        <v>12.731301609999999</v>
      </c>
      <c r="H25" s="7">
        <f t="shared" ref="H25:I25" si="22">E25-B25</f>
        <v>0.3158698590000002</v>
      </c>
      <c r="I25" s="7">
        <f t="shared" si="22"/>
        <v>0.25412836999999833</v>
      </c>
    </row>
    <row r="26" spans="1:9" ht="15.75" customHeight="1">
      <c r="B26" s="5">
        <v>13.80103929</v>
      </c>
      <c r="C26" s="5">
        <v>17.367766540000002</v>
      </c>
      <c r="E26" s="6">
        <v>14.071703729999999</v>
      </c>
      <c r="F26" s="6">
        <v>17.653350240000002</v>
      </c>
      <c r="H26" s="7">
        <f t="shared" ref="H26:I26" si="23">E26-B26</f>
        <v>0.27066443999999912</v>
      </c>
      <c r="I26" s="7">
        <f t="shared" si="23"/>
        <v>0.28558370000000011</v>
      </c>
    </row>
    <row r="27" spans="1:9" ht="15.75" customHeight="1">
      <c r="B27" s="5">
        <v>16.523829630000002</v>
      </c>
      <c r="C27" s="5">
        <v>20.838866939999999</v>
      </c>
      <c r="E27" s="6">
        <v>16.776722899999999</v>
      </c>
      <c r="F27" s="6">
        <v>21.138349269999999</v>
      </c>
      <c r="H27" s="7">
        <f t="shared" ref="H27:I27" si="24">E27-B27</f>
        <v>0.25289326999999773</v>
      </c>
      <c r="I27" s="7">
        <f t="shared" si="24"/>
        <v>0.29948233000000002</v>
      </c>
    </row>
    <row r="28" spans="1:9" ht="15.75" customHeight="1">
      <c r="B28" s="5">
        <v>20.965381369999999</v>
      </c>
      <c r="C28" s="5">
        <v>26.374381190000001</v>
      </c>
      <c r="E28" s="6">
        <v>21.18928541</v>
      </c>
      <c r="F28" s="6">
        <v>26.696410220000001</v>
      </c>
      <c r="H28" s="7">
        <f t="shared" ref="H28:I28" si="25">E28-B28</f>
        <v>0.22390404000000075</v>
      </c>
      <c r="I28" s="7">
        <f t="shared" si="25"/>
        <v>0.32202902999999949</v>
      </c>
    </row>
    <row r="29" spans="1:9" ht="15.75" customHeight="1">
      <c r="B29" s="5">
        <v>32.605310070000002</v>
      </c>
      <c r="C29" s="5">
        <v>31.575066710000002</v>
      </c>
      <c r="E29" s="6">
        <v>32.753242350000001</v>
      </c>
      <c r="F29" s="6">
        <v>31.946971250000001</v>
      </c>
      <c r="H29" s="7">
        <f t="shared" ref="H29:I29" si="26">E29-B29</f>
        <v>0.14793227999999914</v>
      </c>
      <c r="I29" s="7">
        <f t="shared" si="26"/>
        <v>0.37190453999999917</v>
      </c>
    </row>
    <row r="30" spans="1:9" ht="15.75" customHeight="1">
      <c r="B30" s="5">
        <v>39.344216160000002</v>
      </c>
      <c r="C30" s="5">
        <v>39.136934220000001</v>
      </c>
      <c r="E30" s="6">
        <v>39.44816479</v>
      </c>
      <c r="F30" s="6">
        <v>39.54221914</v>
      </c>
      <c r="H30" s="7">
        <f t="shared" ref="H30:I30" si="27">E30-B30</f>
        <v>0.10394862999999788</v>
      </c>
      <c r="I30" s="7">
        <f t="shared" si="27"/>
        <v>0.40528491999999972</v>
      </c>
    </row>
    <row r="31" spans="1:9" ht="15.75" customHeight="1">
      <c r="B31" s="5">
        <v>50.065203109999999</v>
      </c>
      <c r="C31" s="5">
        <v>49.08271474</v>
      </c>
      <c r="E31" s="6">
        <v>50.099177760000003</v>
      </c>
      <c r="F31" s="6">
        <v>49.56210385</v>
      </c>
      <c r="H31" s="7">
        <f t="shared" ref="H31:I31" si="28">E31-B31</f>
        <v>3.3974650000004658E-2</v>
      </c>
      <c r="I31" s="7">
        <f t="shared" si="28"/>
        <v>0.47938910999999962</v>
      </c>
    </row>
    <row r="32" spans="1:9" ht="15.75" customHeight="1">
      <c r="B32" s="5">
        <v>61.705131809999997</v>
      </c>
      <c r="C32" s="5">
        <v>53.473939280000003</v>
      </c>
      <c r="E32" s="6">
        <v>61.663134700000001</v>
      </c>
      <c r="F32" s="6">
        <v>53.979340120000003</v>
      </c>
      <c r="H32" s="7">
        <f t="shared" ref="H32:I32" si="29">E32-B32</f>
        <v>-4.1997109999996951E-2</v>
      </c>
      <c r="I32" s="7">
        <f t="shared" si="29"/>
        <v>0.50540084000000007</v>
      </c>
    </row>
    <row r="33" spans="2:10" ht="15.75" customHeight="1">
      <c r="B33" s="5">
        <v>67.831410079999998</v>
      </c>
      <c r="C33" s="5">
        <v>66.007050840000005</v>
      </c>
      <c r="E33" s="6">
        <v>67.749427819999994</v>
      </c>
      <c r="F33" s="6">
        <v>66.548399119999999</v>
      </c>
      <c r="H33" s="7">
        <f t="shared" ref="H33:I33" si="30">E33-B33</f>
        <v>-8.1982260000003748E-2</v>
      </c>
      <c r="I33" s="7">
        <f t="shared" si="30"/>
        <v>0.54134827999999402</v>
      </c>
    </row>
    <row r="34" spans="2:10" ht="15.75" customHeight="1">
      <c r="B34" s="5">
        <v>80.390280509999997</v>
      </c>
      <c r="C34" s="5">
        <v>79.471616109999999</v>
      </c>
      <c r="E34" s="6">
        <v>80.226328730000006</v>
      </c>
      <c r="F34" s="6">
        <v>80.074551600000007</v>
      </c>
      <c r="H34" s="7">
        <f t="shared" ref="H34:I34" si="31">E34-B34</f>
        <v>-0.16395177999999078</v>
      </c>
      <c r="I34" s="7">
        <f t="shared" si="31"/>
        <v>0.60293549000000723</v>
      </c>
    </row>
    <row r="35" spans="2:10" ht="15.75" customHeight="1">
      <c r="B35" s="5">
        <v>5.263157895</v>
      </c>
      <c r="C35" s="5">
        <v>10.919070489999999</v>
      </c>
      <c r="E35" s="6">
        <v>5.1792828689999997</v>
      </c>
      <c r="F35" s="6">
        <v>10.86956522</v>
      </c>
      <c r="H35" s="7">
        <f t="shared" ref="H35:I35" si="32">E35-B35</f>
        <v>-8.3875026000000297E-2</v>
      </c>
      <c r="I35" s="7">
        <f t="shared" si="32"/>
        <v>-4.9505269999999157E-2</v>
      </c>
    </row>
    <row r="36" spans="2:10" ht="15.75" customHeight="1">
      <c r="B36" s="5">
        <v>4.7397532050000004</v>
      </c>
      <c r="C36" s="5">
        <v>8.9564728710000008</v>
      </c>
      <c r="E36" s="6">
        <v>4.1832669320000004</v>
      </c>
      <c r="F36" s="6">
        <v>8.2125603859999998</v>
      </c>
      <c r="H36" s="7">
        <f t="shared" ref="H36:I36" si="33">E36-B36</f>
        <v>-0.55648627299999998</v>
      </c>
      <c r="I36" s="7">
        <f t="shared" si="33"/>
        <v>-0.74391248500000096</v>
      </c>
    </row>
    <row r="37" spans="2:10" ht="15.75" customHeight="1">
      <c r="H37" s="7"/>
      <c r="I37" s="7"/>
    </row>
    <row r="38" spans="2:10" ht="15.75" customHeight="1">
      <c r="H38" s="8">
        <f t="shared" ref="H38:I38" si="34">AVERAGE(H2:H36)</f>
        <v>-0.12105219152941127</v>
      </c>
      <c r="I38" s="8">
        <f t="shared" si="34"/>
        <v>0.20311574029117649</v>
      </c>
      <c r="J38" s="9" t="s">
        <v>6</v>
      </c>
    </row>
    <row r="39" spans="2:10" ht="15.75" customHeight="1">
      <c r="H39" s="8">
        <f t="shared" ref="H39:I39" si="35">MEDIAN(H2:H36)</f>
        <v>-0.12612277000000027</v>
      </c>
      <c r="I39" s="8">
        <f t="shared" si="35"/>
        <v>0.31392459000000095</v>
      </c>
      <c r="J39" s="9" t="s">
        <v>7</v>
      </c>
    </row>
    <row r="40" spans="2:10" ht="15.75" customHeight="1">
      <c r="H40" s="8">
        <f t="shared" ref="H40:I40" si="36">MAX(H2:H39)</f>
        <v>1.113885765</v>
      </c>
      <c r="I40" s="8">
        <f t="shared" si="36"/>
        <v>0.94917748999999674</v>
      </c>
      <c r="J40" s="9" t="s">
        <v>8</v>
      </c>
    </row>
    <row r="41" spans="2:10" ht="15.75" customHeight="1"/>
    <row r="42" spans="2:10" ht="15.75" customHeight="1"/>
    <row r="43" spans="2:10" ht="15.75" customHeight="1"/>
    <row r="44" spans="2:10" ht="15.75" customHeight="1"/>
    <row r="45" spans="2:10" ht="15.75" customHeight="1"/>
    <row r="46" spans="2:10" ht="15.75" customHeight="1"/>
    <row r="47" spans="2:10" ht="15.75" customHeight="1"/>
    <row r="48" spans="2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00"/>
  <sheetViews>
    <sheetView workbookViewId="0"/>
  </sheetViews>
  <sheetFormatPr defaultColWidth="11.25" defaultRowHeight="15" customHeight="1"/>
  <cols>
    <col min="1" max="26" width="10.5" customWidth="1"/>
  </cols>
  <sheetData>
    <row r="1" spans="1:9" ht="15.75" customHeight="1">
      <c r="B1" s="1" t="s">
        <v>0</v>
      </c>
      <c r="C1" s="1"/>
      <c r="E1" s="2" t="s">
        <v>1</v>
      </c>
      <c r="F1" s="2"/>
      <c r="H1" s="3" t="s">
        <v>3</v>
      </c>
      <c r="I1" s="3"/>
    </row>
    <row r="2" spans="1:9" ht="15.75" customHeight="1">
      <c r="A2" s="4" t="s">
        <v>26</v>
      </c>
      <c r="B2" s="5">
        <v>20.921052629999998</v>
      </c>
      <c r="C2" s="5"/>
      <c r="E2" s="6">
        <v>21.301775150000001</v>
      </c>
      <c r="F2" s="6"/>
      <c r="H2" s="7">
        <f t="shared" ref="H2:H5" si="0">E2-B2</f>
        <v>0.38072252000000262</v>
      </c>
      <c r="I2" s="7"/>
    </row>
    <row r="3" spans="1:9" ht="15.75" customHeight="1">
      <c r="A3" s="4" t="s">
        <v>24</v>
      </c>
      <c r="B3" s="5">
        <v>61.578947370000002</v>
      </c>
      <c r="C3" s="5"/>
      <c r="E3" s="6">
        <v>60.591715979999996</v>
      </c>
      <c r="F3" s="6"/>
      <c r="H3" s="7">
        <f t="shared" si="0"/>
        <v>-0.98723139000000515</v>
      </c>
      <c r="I3" s="7"/>
    </row>
    <row r="4" spans="1:9" ht="15.75" customHeight="1">
      <c r="A4" s="4" t="s">
        <v>27</v>
      </c>
      <c r="B4" s="5">
        <v>60.39473684</v>
      </c>
      <c r="C4" s="5"/>
      <c r="E4" s="6">
        <v>59.644970409999999</v>
      </c>
      <c r="F4" s="6"/>
      <c r="H4" s="7">
        <f t="shared" si="0"/>
        <v>-0.74976643000000109</v>
      </c>
      <c r="I4" s="7"/>
    </row>
    <row r="5" spans="1:9" ht="15.75" customHeight="1">
      <c r="A5" s="4" t="s">
        <v>25</v>
      </c>
      <c r="B5" s="5">
        <v>6.3157894739999998</v>
      </c>
      <c r="C5" s="5"/>
      <c r="E5" s="6">
        <v>5.6804733729999999</v>
      </c>
      <c r="F5" s="6"/>
      <c r="H5" s="7">
        <f t="shared" si="0"/>
        <v>-0.63531610099999991</v>
      </c>
      <c r="I5" s="7"/>
    </row>
    <row r="6" spans="1:9" ht="15.75" customHeight="1">
      <c r="B6" s="5"/>
      <c r="C6" s="5"/>
      <c r="E6" s="6"/>
      <c r="F6" s="6"/>
      <c r="H6" s="7"/>
      <c r="I6" s="7"/>
    </row>
    <row r="7" spans="1:9" ht="15.75" customHeight="1">
      <c r="A7" s="4" t="s">
        <v>26</v>
      </c>
      <c r="B7" s="5">
        <v>251.30354579999999</v>
      </c>
      <c r="C7" s="5">
        <v>-1.3092846890000001</v>
      </c>
      <c r="E7" s="10">
        <v>250</v>
      </c>
      <c r="F7" s="6">
        <v>0</v>
      </c>
      <c r="H7" s="7">
        <f t="shared" ref="H7:I7" si="1">E7-B7</f>
        <v>-1.3035457999999949</v>
      </c>
      <c r="I7" s="7">
        <f t="shared" si="1"/>
        <v>1.3092846890000001</v>
      </c>
    </row>
    <row r="8" spans="1:9" ht="15.75" customHeight="1">
      <c r="B8" s="5">
        <v>300.02664479999999</v>
      </c>
      <c r="C8" s="5">
        <v>0.46402951419999999</v>
      </c>
      <c r="E8" s="6">
        <v>298.46153850000002</v>
      </c>
      <c r="F8" s="6">
        <v>1.690821256</v>
      </c>
      <c r="H8" s="7">
        <f t="shared" ref="H8:I8" si="2">E8-B8</f>
        <v>-1.5651062999999681</v>
      </c>
      <c r="I8" s="7">
        <f t="shared" si="2"/>
        <v>1.2267917418000001</v>
      </c>
    </row>
    <row r="9" spans="1:9" ht="15.75" customHeight="1">
      <c r="B9" s="5">
        <v>352.7710596</v>
      </c>
      <c r="C9" s="5">
        <v>5.6093461769999999</v>
      </c>
      <c r="E9" s="6">
        <v>348.65384619999998</v>
      </c>
      <c r="F9" s="6">
        <v>6.0386473430000001</v>
      </c>
      <c r="H9" s="7">
        <f t="shared" ref="H9:I9" si="3">E9-B9</f>
        <v>-4.1172134000000256</v>
      </c>
      <c r="I9" s="7">
        <f t="shared" si="3"/>
        <v>0.42930116600000012</v>
      </c>
    </row>
    <row r="10" spans="1:9" ht="15.75" customHeight="1">
      <c r="B10" s="5">
        <v>399.14531670000002</v>
      </c>
      <c r="C10" s="5">
        <v>20.27546628</v>
      </c>
      <c r="E10" s="6">
        <v>399.42307690000001</v>
      </c>
      <c r="F10" s="6">
        <v>21.014492749999999</v>
      </c>
      <c r="H10" s="7">
        <f t="shared" ref="H10:I10" si="4">E10-B10</f>
        <v>0.2777601999999888</v>
      </c>
      <c r="I10" s="7">
        <f t="shared" si="4"/>
        <v>0.73902646999999888</v>
      </c>
    </row>
    <row r="11" spans="1:9" ht="15.75" customHeight="1">
      <c r="B11" s="5">
        <v>452.6644804</v>
      </c>
      <c r="C11" s="5">
        <v>60.749333880000002</v>
      </c>
      <c r="E11" s="6">
        <v>450.7692308</v>
      </c>
      <c r="F11" s="6">
        <v>59.903381639999999</v>
      </c>
      <c r="H11" s="7">
        <f t="shared" ref="H11:I11" si="5">E11-B11</f>
        <v>-1.8952495999999996</v>
      </c>
      <c r="I11" s="7">
        <f t="shared" si="5"/>
        <v>-0.84595224000000258</v>
      </c>
    </row>
    <row r="12" spans="1:9" ht="15.75" customHeight="1">
      <c r="B12" s="5">
        <v>504.79401519999999</v>
      </c>
      <c r="C12" s="5">
        <v>97.85611806</v>
      </c>
      <c r="E12" s="6">
        <v>499.80769229999999</v>
      </c>
      <c r="F12" s="6">
        <v>97.101449279999997</v>
      </c>
      <c r="H12" s="7">
        <f t="shared" ref="H12:I12" si="6">E12-B12</f>
        <v>-4.9863229000000047</v>
      </c>
      <c r="I12" s="7">
        <f t="shared" si="6"/>
        <v>-0.75466878000000293</v>
      </c>
    </row>
    <row r="13" spans="1:9" ht="15.75" customHeight="1">
      <c r="B13" s="5">
        <v>552.87149009999996</v>
      </c>
      <c r="C13" s="5">
        <v>100.18897320000001</v>
      </c>
      <c r="E13" s="6">
        <v>550</v>
      </c>
      <c r="F13" s="6">
        <v>100.4830918</v>
      </c>
      <c r="H13" s="7">
        <f t="shared" ref="H13:I13" si="7">E13-B13</f>
        <v>-2.87149009999996</v>
      </c>
      <c r="I13" s="7">
        <f t="shared" si="7"/>
        <v>0.29411859999999024</v>
      </c>
    </row>
    <row r="14" spans="1:9" ht="15.75" customHeight="1">
      <c r="B14" s="5"/>
      <c r="C14" s="5"/>
      <c r="E14" s="6"/>
      <c r="F14" s="6"/>
      <c r="H14" s="7"/>
      <c r="I14" s="7"/>
    </row>
    <row r="15" spans="1:9" ht="15.75" customHeight="1">
      <c r="A15" s="4" t="s">
        <v>24</v>
      </c>
      <c r="B15" s="5">
        <v>248.7210494</v>
      </c>
      <c r="C15" s="5">
        <v>0.92887886860000002</v>
      </c>
      <c r="E15" s="10">
        <v>248.8461538</v>
      </c>
      <c r="F15" s="6">
        <v>2.1739130430000002</v>
      </c>
      <c r="H15" s="7">
        <f t="shared" ref="H15:I15" si="8">E15-B15</f>
        <v>0.1251043999999979</v>
      </c>
      <c r="I15" s="7">
        <f t="shared" si="8"/>
        <v>1.2450341744000002</v>
      </c>
    </row>
    <row r="16" spans="1:9" ht="15.75" customHeight="1">
      <c r="B16" s="5">
        <v>298.87067020000001</v>
      </c>
      <c r="C16" s="5">
        <v>7.7515884399999999</v>
      </c>
      <c r="E16" s="6">
        <v>298.46153850000002</v>
      </c>
      <c r="F16" s="6">
        <v>8.4541062799999995</v>
      </c>
      <c r="H16" s="7">
        <f t="shared" ref="H16:I16" si="9">E16-B16</f>
        <v>-0.409131699999989</v>
      </c>
      <c r="I16" s="7">
        <f t="shared" si="9"/>
        <v>0.70251783999999962</v>
      </c>
    </row>
    <row r="17" spans="1:9" ht="15.75" customHeight="1">
      <c r="B17" s="5">
        <v>351.92252509999997</v>
      </c>
      <c r="C17" s="5">
        <v>26.916171349999999</v>
      </c>
      <c r="E17" s="6">
        <v>349.2307692</v>
      </c>
      <c r="F17" s="6">
        <v>27.777777780000001</v>
      </c>
      <c r="H17" s="7">
        <f t="shared" ref="H17:I17" si="10">E17-B17</f>
        <v>-2.6917558999999756</v>
      </c>
      <c r="I17" s="7">
        <f t="shared" si="10"/>
        <v>0.86160643000000192</v>
      </c>
    </row>
    <row r="18" spans="1:9" ht="15.75" customHeight="1">
      <c r="B18" s="5">
        <v>401.3711826</v>
      </c>
      <c r="C18" s="5">
        <v>61.774953879999998</v>
      </c>
      <c r="E18" s="6">
        <v>398.84615380000002</v>
      </c>
      <c r="F18" s="6">
        <v>61.594202899999999</v>
      </c>
      <c r="H18" s="7">
        <f t="shared" ref="H18:I18" si="11">E18-B18</f>
        <v>-2.5250287999999728</v>
      </c>
      <c r="I18" s="7">
        <f t="shared" si="11"/>
        <v>-0.18075097999999912</v>
      </c>
    </row>
    <row r="19" spans="1:9" ht="15.75" customHeight="1">
      <c r="B19" s="5">
        <v>452.02500509999999</v>
      </c>
      <c r="C19" s="5">
        <v>91.589260089999996</v>
      </c>
      <c r="E19" s="6">
        <v>449.61538460000003</v>
      </c>
      <c r="F19" s="6">
        <v>91.545893719999995</v>
      </c>
      <c r="H19" s="7">
        <f t="shared" ref="H19:I19" si="12">E19-B19</f>
        <v>-2.40962049999996</v>
      </c>
      <c r="I19" s="7">
        <f t="shared" si="12"/>
        <v>-4.3366370000001098E-2</v>
      </c>
    </row>
    <row r="20" spans="1:9" ht="15.75" customHeight="1">
      <c r="B20" s="5">
        <v>503.53965979999998</v>
      </c>
      <c r="C20" s="5">
        <v>100.65751179999999</v>
      </c>
      <c r="E20" s="6">
        <v>500.38461539999997</v>
      </c>
      <c r="F20" s="6">
        <v>100.24154590000001</v>
      </c>
      <c r="H20" s="7">
        <f t="shared" ref="H20:I20" si="13">E20-B20</f>
        <v>-3.1550444000000084</v>
      </c>
      <c r="I20" s="7">
        <f t="shared" si="13"/>
        <v>-0.41596589999998912</v>
      </c>
    </row>
    <row r="21" spans="1:9" ht="15.75" customHeight="1">
      <c r="B21" s="5">
        <v>553.56630459999997</v>
      </c>
      <c r="C21" s="5">
        <v>101.8725149</v>
      </c>
      <c r="E21" s="6">
        <v>549.42307689999996</v>
      </c>
      <c r="F21" s="6">
        <v>100.4830918</v>
      </c>
      <c r="H21" s="7">
        <f t="shared" ref="H21:I21" si="14">E21-B21</f>
        <v>-4.1432277000000113</v>
      </c>
      <c r="I21" s="7">
        <f t="shared" si="14"/>
        <v>-1.3894231000000019</v>
      </c>
    </row>
    <row r="22" spans="1:9" ht="15.75" customHeight="1">
      <c r="B22" s="5"/>
      <c r="C22" s="5"/>
      <c r="E22" s="6"/>
      <c r="F22" s="6"/>
      <c r="H22" s="7"/>
      <c r="I22" s="7"/>
    </row>
    <row r="23" spans="1:9" ht="15.75" customHeight="1">
      <c r="A23" s="4" t="s">
        <v>27</v>
      </c>
      <c r="B23" s="5">
        <v>251.35273620000001</v>
      </c>
      <c r="C23" s="5">
        <v>0.93379790939999996</v>
      </c>
      <c r="E23" s="6">
        <v>248.8461538</v>
      </c>
      <c r="F23" s="6">
        <v>1.690821256</v>
      </c>
      <c r="H23" s="7">
        <f t="shared" ref="H23:I23" si="15">E23-B23</f>
        <v>-2.5065824000000134</v>
      </c>
      <c r="I23" s="7">
        <f t="shared" si="15"/>
        <v>0.75702334660000004</v>
      </c>
    </row>
    <row r="24" spans="1:9" ht="15.75" customHeight="1">
      <c r="B24" s="5">
        <v>301.50235700000002</v>
      </c>
      <c r="C24" s="5">
        <v>7.7565074809999999</v>
      </c>
      <c r="E24" s="6">
        <v>298.46153850000002</v>
      </c>
      <c r="F24" s="6">
        <v>8.6956521739999992</v>
      </c>
      <c r="H24" s="7">
        <f t="shared" ref="H24:I24" si="16">E24-B24</f>
        <v>-3.0408185000000003</v>
      </c>
      <c r="I24" s="7">
        <f t="shared" si="16"/>
        <v>0.93914469299999936</v>
      </c>
    </row>
    <row r="25" spans="1:9" ht="15.75" customHeight="1">
      <c r="B25" s="5">
        <v>349.25394549999999</v>
      </c>
      <c r="C25" s="5">
        <v>25.228940359999999</v>
      </c>
      <c r="E25" s="6">
        <v>349.80769229999999</v>
      </c>
      <c r="F25" s="6">
        <v>26.086956520000001</v>
      </c>
      <c r="H25" s="7">
        <f t="shared" ref="H25:I25" si="17">E25-B25</f>
        <v>0.55374679999999898</v>
      </c>
      <c r="I25" s="7">
        <f t="shared" si="17"/>
        <v>0.8580161600000018</v>
      </c>
    </row>
    <row r="26" spans="1:9" ht="15.75" customHeight="1">
      <c r="B26" s="5">
        <v>400.00614880000001</v>
      </c>
      <c r="C26" s="5">
        <v>59.529411760000002</v>
      </c>
      <c r="E26" s="6">
        <v>398.84615380000002</v>
      </c>
      <c r="F26" s="6">
        <v>59.661835750000002</v>
      </c>
      <c r="H26" s="7">
        <f t="shared" ref="H26:I26" si="18">E26-B26</f>
        <v>-1.1599949999999808</v>
      </c>
      <c r="I26" s="7">
        <f t="shared" si="18"/>
        <v>0.13242398999999949</v>
      </c>
    </row>
    <row r="27" spans="1:9" ht="15.75" customHeight="1">
      <c r="B27" s="5">
        <v>453.39003889999998</v>
      </c>
      <c r="C27" s="5">
        <v>93.834802210000007</v>
      </c>
      <c r="E27" s="6">
        <v>449.03846149999998</v>
      </c>
      <c r="F27" s="6">
        <v>93.719806759999997</v>
      </c>
      <c r="H27" s="7">
        <f t="shared" ref="H27:I27" si="19">E27-B27</f>
        <v>-4.3515773999999965</v>
      </c>
      <c r="I27" s="7">
        <f t="shared" si="19"/>
        <v>-0.11499545000000921</v>
      </c>
    </row>
    <row r="28" spans="1:9" ht="15.75" customHeight="1">
      <c r="B28" s="5">
        <v>503.53965979999998</v>
      </c>
      <c r="C28" s="5">
        <v>100.65751179999999</v>
      </c>
      <c r="E28" s="6">
        <v>499.2307692</v>
      </c>
      <c r="F28" s="6">
        <v>100.96618359999999</v>
      </c>
      <c r="H28" s="7">
        <f t="shared" ref="H28:I28" si="20">E28-B28</f>
        <v>-4.3088905999999838</v>
      </c>
      <c r="I28" s="7">
        <f t="shared" si="20"/>
        <v>0.30867179999999905</v>
      </c>
    </row>
    <row r="29" spans="1:9" ht="15.75" customHeight="1">
      <c r="B29" s="5">
        <v>550.91002249999997</v>
      </c>
      <c r="C29" s="5">
        <v>100.7460545</v>
      </c>
      <c r="E29" s="6">
        <v>549.42307689999996</v>
      </c>
      <c r="F29" s="6">
        <v>100.4830918</v>
      </c>
      <c r="H29" s="7">
        <f t="shared" ref="H29:I29" si="21">E29-B29</f>
        <v>-1.4869456000000127</v>
      </c>
      <c r="I29" s="7">
        <f t="shared" si="21"/>
        <v>-0.26296270000000277</v>
      </c>
    </row>
    <row r="30" spans="1:9" ht="15.75" customHeight="1">
      <c r="B30" s="5"/>
      <c r="C30" s="5"/>
      <c r="E30" s="6"/>
      <c r="F30" s="6"/>
      <c r="H30" s="7"/>
      <c r="I30" s="7"/>
    </row>
    <row r="31" spans="1:9" ht="15.75" customHeight="1">
      <c r="A31" s="4" t="s">
        <v>25</v>
      </c>
      <c r="B31" s="11">
        <v>251.30354579999999</v>
      </c>
      <c r="C31" s="5">
        <v>-1.3092846890000001</v>
      </c>
      <c r="E31" s="6">
        <v>249.42307690000001</v>
      </c>
      <c r="F31" s="6">
        <v>-0.24154589369999999</v>
      </c>
      <c r="H31" s="7">
        <f t="shared" ref="H31:I31" si="22">E31-B31</f>
        <v>-1.8804688999999826</v>
      </c>
      <c r="I31" s="7">
        <f t="shared" si="22"/>
        <v>1.0677387953000002</v>
      </c>
    </row>
    <row r="32" spans="1:9" ht="15.75" customHeight="1">
      <c r="B32" s="5">
        <v>301.31789300000003</v>
      </c>
      <c r="C32" s="5">
        <v>-0.65505226480000001</v>
      </c>
      <c r="E32" s="6">
        <v>299.61538460000003</v>
      </c>
      <c r="F32" s="6">
        <v>0.48309178739999997</v>
      </c>
      <c r="H32" s="7">
        <f t="shared" ref="H32:I32" si="23">E32-B32</f>
        <v>-1.7025083999999993</v>
      </c>
      <c r="I32" s="7">
        <f t="shared" si="23"/>
        <v>1.1381440521999999</v>
      </c>
    </row>
    <row r="33" spans="2:10" ht="15.75" customHeight="1">
      <c r="B33" s="5">
        <v>350.02869440000001</v>
      </c>
      <c r="C33" s="5">
        <v>0.55749128920000002</v>
      </c>
      <c r="E33" s="6">
        <v>350.38461539999997</v>
      </c>
      <c r="F33" s="6">
        <v>1.690821256</v>
      </c>
      <c r="H33" s="7">
        <f t="shared" ref="H33:I33" si="24">E33-B33</f>
        <v>0.35592099999996663</v>
      </c>
      <c r="I33" s="7">
        <f t="shared" si="24"/>
        <v>1.1333299667999999</v>
      </c>
    </row>
    <row r="34" spans="2:10" ht="15.75" customHeight="1">
      <c r="B34" s="5">
        <v>401.45726580000002</v>
      </c>
      <c r="C34" s="5">
        <v>5.7003484320000002</v>
      </c>
      <c r="E34" s="6">
        <v>399.42307690000001</v>
      </c>
      <c r="F34" s="6">
        <v>6.5217391300000003</v>
      </c>
      <c r="H34" s="7">
        <f t="shared" ref="H34:I34" si="25">E34-B34</f>
        <v>-2.0341889000000037</v>
      </c>
      <c r="I34" s="7">
        <f t="shared" si="25"/>
        <v>0.82139069800000009</v>
      </c>
    </row>
    <row r="35" spans="2:10" ht="15.75" customHeight="1">
      <c r="B35" s="5">
        <v>450.46320969999999</v>
      </c>
      <c r="C35" s="5">
        <v>20.37138758</v>
      </c>
      <c r="E35" s="6">
        <v>450.19230770000001</v>
      </c>
      <c r="F35" s="6">
        <v>20.53140097</v>
      </c>
      <c r="H35" s="7">
        <f t="shared" ref="H35:I35" si="26">E35-B35</f>
        <v>-0.27090199999997822</v>
      </c>
      <c r="I35" s="7">
        <f t="shared" si="26"/>
        <v>0.16001338999999959</v>
      </c>
    </row>
    <row r="36" spans="2:10" ht="15.75" customHeight="1">
      <c r="B36" s="5">
        <v>501.31379379999998</v>
      </c>
      <c r="C36" s="5">
        <v>59.158024189999999</v>
      </c>
      <c r="E36" s="6">
        <v>500.96153850000002</v>
      </c>
      <c r="F36" s="6">
        <v>58.937198070000001</v>
      </c>
      <c r="H36" s="7">
        <f t="shared" ref="H36:I36" si="27">E36-B36</f>
        <v>-0.35225529999996752</v>
      </c>
      <c r="I36" s="7">
        <f t="shared" si="27"/>
        <v>-0.22082611999999813</v>
      </c>
    </row>
    <row r="37" spans="2:10" ht="15.75" customHeight="1">
      <c r="B37" s="5">
        <v>552.25046120000002</v>
      </c>
      <c r="C37" s="5">
        <v>101.8700553</v>
      </c>
      <c r="E37" s="6">
        <v>550.57692310000004</v>
      </c>
      <c r="F37" s="6">
        <v>100</v>
      </c>
      <c r="H37" s="7">
        <f t="shared" ref="H37:I37" si="28">E37-B37</f>
        <v>-1.6735380999999734</v>
      </c>
      <c r="I37" s="7">
        <f t="shared" si="28"/>
        <v>-1.8700553000000042</v>
      </c>
    </row>
    <row r="38" spans="2:10" ht="15.75" customHeight="1">
      <c r="H38" s="7"/>
      <c r="I38" s="7"/>
    </row>
    <row r="39" spans="2:10" ht="15.75" customHeight="1">
      <c r="H39" s="8">
        <f t="shared" ref="H39:I39" si="29">AVERAGE(H2:H37)</f>
        <v>-1.7975146000312443</v>
      </c>
      <c r="I39" s="8">
        <f t="shared" si="29"/>
        <v>0.28659325225357069</v>
      </c>
      <c r="J39" s="9" t="s">
        <v>6</v>
      </c>
    </row>
    <row r="40" spans="2:10" ht="15.75" customHeight="1">
      <c r="H40" s="8">
        <f t="shared" ref="H40:I40" si="30">MEDIAN(H2:H37)</f>
        <v>-1.6880232499999863</v>
      </c>
      <c r="I40" s="8">
        <f t="shared" si="30"/>
        <v>0.36898648299999959</v>
      </c>
      <c r="J40" s="9" t="s">
        <v>7</v>
      </c>
    </row>
    <row r="41" spans="2:10" ht="15.75" customHeight="1">
      <c r="H41" s="8">
        <f t="shared" ref="H41:I41" si="31">MAX(H2:H40)</f>
        <v>0.55374679999999898</v>
      </c>
      <c r="I41" s="8">
        <f t="shared" si="31"/>
        <v>1.3092846890000001</v>
      </c>
      <c r="J41" s="9" t="s">
        <v>8</v>
      </c>
    </row>
    <row r="42" spans="2:10" ht="15.75" customHeight="1"/>
    <row r="43" spans="2:10" ht="15.75" customHeight="1"/>
    <row r="44" spans="2:10" ht="15.75" customHeight="1"/>
    <row r="45" spans="2:10" ht="15.75" customHeight="1"/>
    <row r="46" spans="2:10" ht="15.75" customHeight="1"/>
    <row r="47" spans="2:10" ht="15.75" customHeight="1"/>
    <row r="48" spans="2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00"/>
  <sheetViews>
    <sheetView workbookViewId="0"/>
  </sheetViews>
  <sheetFormatPr defaultColWidth="11.25" defaultRowHeight="15" customHeight="1"/>
  <cols>
    <col min="1" max="4" width="10.5" customWidth="1"/>
    <col min="5" max="5" width="11.625" customWidth="1"/>
    <col min="6" max="26" width="10.5" customWidth="1"/>
  </cols>
  <sheetData>
    <row r="1" spans="1:9" ht="15.75" customHeight="1">
      <c r="B1" s="1" t="s">
        <v>0</v>
      </c>
      <c r="C1" s="1"/>
      <c r="E1" s="2" t="s">
        <v>1</v>
      </c>
      <c r="F1" s="2"/>
      <c r="H1" s="3" t="s">
        <v>3</v>
      </c>
      <c r="I1" s="3"/>
    </row>
    <row r="2" spans="1:9" ht="15.75" customHeight="1">
      <c r="A2" s="4" t="s">
        <v>28</v>
      </c>
      <c r="B2" s="5">
        <v>8.1951219510000008</v>
      </c>
      <c r="C2" s="5"/>
      <c r="E2" s="6">
        <v>7.7714285710000004</v>
      </c>
      <c r="F2" s="6"/>
      <c r="H2" s="7">
        <f t="shared" ref="H2:H6" si="0">E2-B2</f>
        <v>-0.42369338000000045</v>
      </c>
      <c r="I2" s="7"/>
    </row>
    <row r="3" spans="1:9" ht="15.75" customHeight="1">
      <c r="A3" s="4" t="s">
        <v>29</v>
      </c>
      <c r="B3" s="5">
        <v>39.414634149999998</v>
      </c>
      <c r="C3" s="5"/>
      <c r="E3" s="6">
        <v>38.857142860000003</v>
      </c>
      <c r="F3" s="6"/>
      <c r="H3" s="7">
        <f t="shared" si="0"/>
        <v>-0.55749128999999442</v>
      </c>
      <c r="I3" s="7"/>
    </row>
    <row r="4" spans="1:9" ht="15.75" customHeight="1">
      <c r="A4" s="4" t="s">
        <v>30</v>
      </c>
      <c r="B4" s="5">
        <v>61.268292680000002</v>
      </c>
      <c r="C4" s="5"/>
      <c r="E4" s="6">
        <v>60.8</v>
      </c>
      <c r="F4" s="6"/>
      <c r="H4" s="7">
        <f t="shared" si="0"/>
        <v>-0.46829268000000468</v>
      </c>
      <c r="I4" s="7"/>
    </row>
    <row r="5" spans="1:9" ht="15.75" customHeight="1">
      <c r="A5" s="4" t="s">
        <v>31</v>
      </c>
      <c r="B5" s="5">
        <v>53.463414630000003</v>
      </c>
      <c r="C5" s="5"/>
      <c r="E5" s="6">
        <v>53.02857143</v>
      </c>
      <c r="F5" s="6"/>
      <c r="H5" s="7">
        <f t="shared" si="0"/>
        <v>-0.43484320000000309</v>
      </c>
      <c r="I5" s="7"/>
    </row>
    <row r="6" spans="1:9" ht="15.75" customHeight="1">
      <c r="A6" s="4" t="s">
        <v>32</v>
      </c>
      <c r="B6" s="5">
        <v>34.341463410000003</v>
      </c>
      <c r="C6" s="5"/>
      <c r="E6" s="6">
        <v>34.285714290000001</v>
      </c>
      <c r="F6" s="6"/>
      <c r="H6" s="7">
        <f t="shared" si="0"/>
        <v>-5.574912000000154E-2</v>
      </c>
      <c r="I6" s="7"/>
    </row>
    <row r="7" spans="1:9" ht="15.75" customHeight="1">
      <c r="B7" s="5"/>
      <c r="C7" s="5"/>
      <c r="E7" s="6"/>
      <c r="F7" s="6"/>
      <c r="H7" s="7"/>
      <c r="I7" s="7"/>
    </row>
    <row r="8" spans="1:9" ht="15.75" customHeight="1">
      <c r="A8" s="4" t="s">
        <v>28</v>
      </c>
      <c r="B8" s="5">
        <v>249.5012088</v>
      </c>
      <c r="C8" s="5">
        <v>-0.42747988539999998</v>
      </c>
      <c r="E8" s="6">
        <v>250</v>
      </c>
      <c r="F8" s="6">
        <v>-0.464037123</v>
      </c>
      <c r="H8" s="7">
        <f t="shared" ref="H8:I8" si="1">E8-B8</f>
        <v>0.49879119999999944</v>
      </c>
      <c r="I8" s="7">
        <f t="shared" si="1"/>
        <v>-3.6557237600000014E-2</v>
      </c>
    </row>
    <row r="9" spans="1:9" ht="15.75" customHeight="1">
      <c r="B9" s="5">
        <v>298.25018169999998</v>
      </c>
      <c r="C9" s="5">
        <v>0.74156388510000004</v>
      </c>
      <c r="E9" s="6">
        <v>299.0601504</v>
      </c>
      <c r="F9" s="6">
        <v>0.464037123</v>
      </c>
      <c r="H9" s="7">
        <f t="shared" ref="H9:I9" si="2">E9-B9</f>
        <v>0.80996870000001309</v>
      </c>
      <c r="I9" s="7">
        <f t="shared" si="2"/>
        <v>-0.27752676210000005</v>
      </c>
    </row>
    <row r="10" spans="1:9" ht="15.75" customHeight="1">
      <c r="B10" s="5">
        <v>345.36796390000001</v>
      </c>
      <c r="C10" s="5">
        <v>1.634612132</v>
      </c>
      <c r="E10" s="6">
        <v>349.81203010000002</v>
      </c>
      <c r="F10" s="6">
        <v>1.856148492</v>
      </c>
      <c r="H10" s="7">
        <f t="shared" ref="H10:I10" si="3">E10-B10</f>
        <v>4.4440662000000088</v>
      </c>
      <c r="I10" s="7">
        <f t="shared" si="3"/>
        <v>0.22153635999999999</v>
      </c>
    </row>
    <row r="11" spans="1:9" ht="15.75" customHeight="1">
      <c r="B11" s="5">
        <v>402.8195346</v>
      </c>
      <c r="C11" s="5">
        <v>8.5559109509999995</v>
      </c>
      <c r="E11" s="6">
        <v>398.30827069999998</v>
      </c>
      <c r="F11" s="6">
        <v>7.6566125290000002</v>
      </c>
      <c r="H11" s="7">
        <f t="shared" ref="H11:I11" si="4">E11-B11</f>
        <v>-4.5112639000000172</v>
      </c>
      <c r="I11" s="7">
        <f t="shared" si="4"/>
        <v>-0.89929842199999932</v>
      </c>
    </row>
    <row r="12" spans="1:9" ht="15.75" customHeight="1">
      <c r="B12" s="5">
        <v>450.13889069999999</v>
      </c>
      <c r="C12" s="5">
        <v>24.373451299999999</v>
      </c>
      <c r="E12" s="6">
        <v>449.62406019999997</v>
      </c>
      <c r="F12" s="6">
        <v>24.129930389999998</v>
      </c>
      <c r="H12" s="7">
        <f t="shared" ref="H12:I12" si="5">E12-B12</f>
        <v>-0.5148305000000164</v>
      </c>
      <c r="I12" s="7">
        <f t="shared" si="5"/>
        <v>-0.24352091000000087</v>
      </c>
    </row>
    <row r="13" spans="1:9" ht="15.75" customHeight="1">
      <c r="B13" s="5">
        <v>498.88598100000002</v>
      </c>
      <c r="C13" s="5">
        <v>53.242817459999998</v>
      </c>
      <c r="E13" s="6">
        <v>499.81203010000002</v>
      </c>
      <c r="F13" s="6">
        <v>53.596287699999998</v>
      </c>
      <c r="H13" s="7">
        <f t="shared" ref="H13:I13" si="6">E13-B13</f>
        <v>0.92604910000000018</v>
      </c>
      <c r="I13" s="7">
        <f t="shared" si="6"/>
        <v>0.35347024000000005</v>
      </c>
    </row>
    <row r="14" spans="1:9" ht="15.75" customHeight="1">
      <c r="B14" s="5">
        <v>550.79562190000001</v>
      </c>
      <c r="C14" s="5">
        <v>99.172238530000001</v>
      </c>
      <c r="E14" s="6">
        <v>550</v>
      </c>
      <c r="F14" s="6">
        <v>99.76798144</v>
      </c>
      <c r="H14" s="7">
        <f t="shared" ref="H14:I14" si="7">E14-B14</f>
        <v>-0.79562190000001465</v>
      </c>
      <c r="I14" s="7">
        <f t="shared" si="7"/>
        <v>0.59574290999999846</v>
      </c>
    </row>
    <row r="15" spans="1:9" ht="15.75" customHeight="1">
      <c r="B15" s="5"/>
      <c r="C15" s="5"/>
      <c r="E15" s="6"/>
      <c r="F15" s="6"/>
      <c r="H15" s="7"/>
      <c r="I15" s="7"/>
    </row>
    <row r="16" spans="1:9" ht="15.75" customHeight="1">
      <c r="A16" s="4" t="s">
        <v>29</v>
      </c>
      <c r="B16" s="5">
        <v>249.75663850000001</v>
      </c>
      <c r="C16" s="5">
        <v>-0.2985074627</v>
      </c>
      <c r="E16" s="6">
        <v>250</v>
      </c>
      <c r="F16" s="6">
        <v>0.69605568449999999</v>
      </c>
      <c r="H16" s="7">
        <f t="shared" ref="H16:I16" si="8">E16-B16</f>
        <v>0.24336149999999179</v>
      </c>
      <c r="I16" s="7">
        <f t="shared" si="8"/>
        <v>0.99456314720000005</v>
      </c>
    </row>
    <row r="17" spans="1:9" ht="15.75" customHeight="1">
      <c r="B17" s="5">
        <v>299.82197450000001</v>
      </c>
      <c r="C17" s="5">
        <v>4.2786069649999998</v>
      </c>
      <c r="E17" s="6">
        <v>299.0601504</v>
      </c>
      <c r="F17" s="6">
        <v>4.408352668</v>
      </c>
      <c r="H17" s="7">
        <f t="shared" ref="H17:I17" si="9">E17-B17</f>
        <v>-0.76182410000001255</v>
      </c>
      <c r="I17" s="7">
        <f t="shared" si="9"/>
        <v>0.12974570300000021</v>
      </c>
    </row>
    <row r="18" spans="1:9" ht="15.75" customHeight="1">
      <c r="B18" s="5">
        <v>350.29491100000001</v>
      </c>
      <c r="C18" s="5">
        <v>15.02487562</v>
      </c>
      <c r="E18" s="6">
        <v>348.68421050000001</v>
      </c>
      <c r="F18" s="6">
        <v>14.84918794</v>
      </c>
      <c r="H18" s="7">
        <f t="shared" ref="H18:I18" si="10">E18-B18</f>
        <v>-1.6107005000000072</v>
      </c>
      <c r="I18" s="7">
        <f t="shared" si="10"/>
        <v>-0.17568767999999935</v>
      </c>
    </row>
    <row r="19" spans="1:9" ht="15.75" customHeight="1">
      <c r="B19" s="5">
        <v>396.79532380000001</v>
      </c>
      <c r="C19" s="5">
        <v>38.26069494</v>
      </c>
      <c r="E19" s="6">
        <v>398.87218050000001</v>
      </c>
      <c r="F19" s="6">
        <v>38.283062649999998</v>
      </c>
      <c r="H19" s="7">
        <f t="shared" ref="H19:I19" si="11">E19-B19</f>
        <v>2.0768567000000075</v>
      </c>
      <c r="I19" s="7">
        <f t="shared" si="11"/>
        <v>2.2367709999997487E-2</v>
      </c>
    </row>
    <row r="20" spans="1:9" ht="15.75" customHeight="1">
      <c r="B20" s="5">
        <v>448.86711020000001</v>
      </c>
      <c r="C20" s="5">
        <v>73.53233831</v>
      </c>
      <c r="E20" s="6">
        <v>449.62406019999997</v>
      </c>
      <c r="F20" s="6">
        <v>73.549883989999998</v>
      </c>
      <c r="H20" s="7">
        <f t="shared" ref="H20:I20" si="12">E20-B20</f>
        <v>0.75694999999996071</v>
      </c>
      <c r="I20" s="7">
        <f t="shared" si="12"/>
        <v>1.7545679999997787E-2</v>
      </c>
    </row>
    <row r="21" spans="1:9" ht="15.75" customHeight="1">
      <c r="B21" s="5">
        <v>497.78876700000001</v>
      </c>
      <c r="C21" s="5">
        <v>93.034825870000006</v>
      </c>
      <c r="E21" s="6">
        <v>499.81203010000002</v>
      </c>
      <c r="F21" s="6">
        <v>93.039443160000005</v>
      </c>
      <c r="H21" s="7">
        <f t="shared" ref="H21:I21" si="13">E21-B21</f>
        <v>2.0232631000000083</v>
      </c>
      <c r="I21" s="7">
        <f t="shared" si="13"/>
        <v>4.6172899999987749E-3</v>
      </c>
    </row>
    <row r="22" spans="1:9" ht="15.75" customHeight="1">
      <c r="B22" s="5">
        <v>546.85907810000003</v>
      </c>
      <c r="C22" s="5">
        <v>100.199005</v>
      </c>
      <c r="E22" s="6">
        <v>548.87218050000001</v>
      </c>
      <c r="F22" s="6">
        <v>100.2320186</v>
      </c>
      <c r="H22" s="7">
        <f t="shared" ref="H22:I22" si="14">E22-B22</f>
        <v>2.0131023999999798</v>
      </c>
      <c r="I22" s="7">
        <f t="shared" si="14"/>
        <v>3.3013600000003862E-2</v>
      </c>
    </row>
    <row r="23" spans="1:9" ht="15.75" customHeight="1">
      <c r="B23" s="5"/>
      <c r="C23" s="5"/>
      <c r="E23" s="6"/>
      <c r="F23" s="6"/>
      <c r="H23" s="7"/>
      <c r="I23" s="7"/>
    </row>
    <row r="24" spans="1:9" ht="15.75" customHeight="1">
      <c r="A24" s="4" t="s">
        <v>30</v>
      </c>
      <c r="B24" s="5">
        <v>249.2507343</v>
      </c>
      <c r="C24" s="5">
        <v>1.691542289</v>
      </c>
      <c r="E24" s="10">
        <v>248.87218050000001</v>
      </c>
      <c r="F24" s="6">
        <v>2.0881670529999998</v>
      </c>
      <c r="H24" s="7">
        <f t="shared" ref="H24:I24" si="15">E24-B24</f>
        <v>-0.37855379999999172</v>
      </c>
      <c r="I24" s="7">
        <f t="shared" si="15"/>
        <v>0.3966247639999998</v>
      </c>
    </row>
    <row r="25" spans="1:9" ht="15.75" customHeight="1">
      <c r="B25" s="5">
        <v>298.32823830000001</v>
      </c>
      <c r="C25" s="5">
        <v>8.2587064679999997</v>
      </c>
      <c r="E25" s="6">
        <v>299.0601504</v>
      </c>
      <c r="F25" s="6">
        <v>8.8167053360000001</v>
      </c>
      <c r="H25" s="7">
        <f t="shared" ref="H25:I25" si="16">E25-B25</f>
        <v>0.73191209999998819</v>
      </c>
      <c r="I25" s="7">
        <f t="shared" si="16"/>
        <v>0.55799886800000031</v>
      </c>
    </row>
    <row r="26" spans="1:9" ht="15.75" customHeight="1">
      <c r="B26" s="5">
        <v>348.7028712</v>
      </c>
      <c r="C26" s="5">
        <v>27.164179099999998</v>
      </c>
      <c r="E26" s="6">
        <v>349.24812029999998</v>
      </c>
      <c r="F26" s="6">
        <v>27.146171689999999</v>
      </c>
      <c r="H26" s="7">
        <f t="shared" ref="H26:I26" si="17">E26-B26</f>
        <v>0.54524909999997817</v>
      </c>
      <c r="I26" s="7">
        <f t="shared" si="17"/>
        <v>-1.8007409999999169E-2</v>
      </c>
    </row>
    <row r="27" spans="1:9" ht="15.75" customHeight="1">
      <c r="B27" s="5">
        <v>397.4494995</v>
      </c>
      <c r="C27" s="5">
        <v>61.19402985</v>
      </c>
      <c r="E27" s="6">
        <v>398.87218050000001</v>
      </c>
      <c r="F27" s="6">
        <v>61.020881670000001</v>
      </c>
      <c r="H27" s="7">
        <f t="shared" ref="H27:I27" si="18">E27-B27</f>
        <v>1.4226810000000114</v>
      </c>
      <c r="I27" s="7">
        <f t="shared" si="18"/>
        <v>-0.17314817999999832</v>
      </c>
    </row>
    <row r="28" spans="1:9" ht="15.75" customHeight="1">
      <c r="B28" s="5">
        <v>446.73320150000001</v>
      </c>
      <c r="C28" s="5">
        <v>90.646766170000006</v>
      </c>
      <c r="E28" s="6">
        <v>449.0601504</v>
      </c>
      <c r="F28" s="6">
        <v>90.02320186</v>
      </c>
      <c r="H28" s="7">
        <f t="shared" ref="H28:I28" si="19">E28-B28</f>
        <v>2.3269488999999908</v>
      </c>
      <c r="I28" s="7">
        <f t="shared" si="19"/>
        <v>-0.62356431000000612</v>
      </c>
    </row>
    <row r="29" spans="1:9" ht="15.75" customHeight="1">
      <c r="B29" s="5">
        <v>496.73859620000002</v>
      </c>
      <c r="C29" s="5">
        <v>100.199005</v>
      </c>
      <c r="E29" s="6">
        <v>498.1203008</v>
      </c>
      <c r="F29" s="6">
        <v>100.2320186</v>
      </c>
      <c r="H29" s="7">
        <f t="shared" ref="H29:I29" si="20">E29-B29</f>
        <v>1.3817045999999777</v>
      </c>
      <c r="I29" s="7">
        <f t="shared" si="20"/>
        <v>3.3013600000003862E-2</v>
      </c>
    </row>
    <row r="30" spans="1:9" ht="15.75" customHeight="1">
      <c r="B30" s="5">
        <v>547.33860819999995</v>
      </c>
      <c r="C30" s="5">
        <v>100.39801</v>
      </c>
      <c r="E30" s="6">
        <v>548.87218050000001</v>
      </c>
      <c r="F30" s="6">
        <v>100</v>
      </c>
      <c r="H30" s="7">
        <f t="shared" ref="H30:I30" si="21">E30-B30</f>
        <v>1.5335723000000598</v>
      </c>
      <c r="I30" s="7">
        <f t="shared" si="21"/>
        <v>-0.39800999999999931</v>
      </c>
    </row>
    <row r="31" spans="1:9" ht="15.75" customHeight="1">
      <c r="B31" s="5"/>
      <c r="C31" s="5"/>
      <c r="E31" s="6"/>
      <c r="F31" s="6"/>
      <c r="H31" s="7"/>
      <c r="I31" s="7"/>
    </row>
    <row r="32" spans="1:9" ht="15.75" customHeight="1">
      <c r="A32" s="4" t="s">
        <v>31</v>
      </c>
      <c r="B32" s="11">
        <v>248.77360189999999</v>
      </c>
      <c r="C32" s="5">
        <v>1.2935323379999999</v>
      </c>
      <c r="E32" s="10">
        <v>248.87218050000001</v>
      </c>
      <c r="F32" s="6">
        <v>1.392111369</v>
      </c>
      <c r="H32" s="7">
        <f t="shared" ref="H32:I32" si="22">E32-B32</f>
        <v>9.8578600000024608E-2</v>
      </c>
      <c r="I32" s="7">
        <f t="shared" si="22"/>
        <v>9.8579031000000095E-2</v>
      </c>
    </row>
    <row r="33" spans="1:10" ht="15.75" customHeight="1">
      <c r="B33" s="5">
        <v>298.82215430000002</v>
      </c>
      <c r="C33" s="5">
        <v>7.2636815920000002</v>
      </c>
      <c r="E33" s="6">
        <v>298.49624060000002</v>
      </c>
      <c r="F33" s="6">
        <v>6.9605568450000002</v>
      </c>
      <c r="H33" s="7">
        <f t="shared" ref="H33:I33" si="23">E33-B33</f>
        <v>-0.32591370000000097</v>
      </c>
      <c r="I33" s="7">
        <f t="shared" si="23"/>
        <v>-0.30312474700000003</v>
      </c>
    </row>
    <row r="34" spans="1:10" ht="15.75" customHeight="1">
      <c r="B34" s="5">
        <v>348.27848710000001</v>
      </c>
      <c r="C34" s="5">
        <v>22.388059699999999</v>
      </c>
      <c r="E34" s="6">
        <v>348.68421050000001</v>
      </c>
      <c r="F34" s="6">
        <v>22.50580046</v>
      </c>
      <c r="H34" s="7">
        <f t="shared" ref="H34:I34" si="24">E34-B34</f>
        <v>0.4057233999999994</v>
      </c>
      <c r="I34" s="7">
        <f t="shared" si="24"/>
        <v>0.11774076000000022</v>
      </c>
    </row>
    <row r="35" spans="1:10" ht="15.75" customHeight="1">
      <c r="B35" s="5">
        <v>397.54300790000002</v>
      </c>
      <c r="C35" s="5">
        <v>53.432835820000001</v>
      </c>
      <c r="E35" s="6">
        <v>398.30827069999998</v>
      </c>
      <c r="F35" s="6">
        <v>53.132250579999997</v>
      </c>
      <c r="H35" s="7">
        <f t="shared" ref="H35:I35" si="25">E35-B35</f>
        <v>0.7652627999999595</v>
      </c>
      <c r="I35" s="7">
        <f t="shared" si="25"/>
        <v>-0.30058524000000375</v>
      </c>
    </row>
    <row r="36" spans="1:10" ht="15.75" customHeight="1">
      <c r="B36" s="5">
        <v>446.73799680000002</v>
      </c>
      <c r="C36" s="5">
        <v>90.248756220000004</v>
      </c>
      <c r="E36" s="6">
        <v>449.0601504</v>
      </c>
      <c r="F36" s="6">
        <v>90.719257540000001</v>
      </c>
      <c r="H36" s="7">
        <f t="shared" ref="H36:I36" si="26">E36-B36</f>
        <v>2.3221535999999787</v>
      </c>
      <c r="I36" s="7">
        <f t="shared" si="26"/>
        <v>0.47050131999999678</v>
      </c>
    </row>
    <row r="37" spans="1:10" ht="15.75" customHeight="1">
      <c r="B37" s="5">
        <v>495.7723431</v>
      </c>
      <c r="C37" s="5">
        <v>100.39801</v>
      </c>
      <c r="E37" s="6">
        <v>498.1203008</v>
      </c>
      <c r="F37" s="6">
        <v>100.2320186</v>
      </c>
      <c r="H37" s="7">
        <f t="shared" ref="H37:I37" si="27">E37-B37</f>
        <v>2.3479576999999949</v>
      </c>
      <c r="I37" s="7">
        <f t="shared" si="27"/>
        <v>-0.16599139999999579</v>
      </c>
    </row>
    <row r="38" spans="1:10" ht="15.75" customHeight="1">
      <c r="B38" s="5">
        <v>545.89042740000002</v>
      </c>
      <c r="C38" s="5">
        <v>100.5970149</v>
      </c>
      <c r="E38" s="6">
        <v>548.30827069999998</v>
      </c>
      <c r="F38" s="6">
        <v>100.6960557</v>
      </c>
      <c r="H38" s="7">
        <f t="shared" ref="H38:I38" si="28">E38-B38</f>
        <v>2.4178432999999586</v>
      </c>
      <c r="I38" s="7">
        <f t="shared" si="28"/>
        <v>9.9040799999997375E-2</v>
      </c>
    </row>
    <row r="39" spans="1:10" ht="15.75" customHeight="1">
      <c r="B39" s="5"/>
      <c r="C39" s="5"/>
      <c r="E39" s="6"/>
      <c r="F39" s="6"/>
      <c r="H39" s="7"/>
      <c r="I39" s="7"/>
    </row>
    <row r="40" spans="1:10" ht="15.75" customHeight="1">
      <c r="A40" s="4" t="s">
        <v>32</v>
      </c>
      <c r="B40" s="11">
        <v>250.2337709</v>
      </c>
      <c r="C40" s="5">
        <v>9.9502487560000005E-2</v>
      </c>
      <c r="E40" s="10">
        <v>249.4360902</v>
      </c>
      <c r="F40" s="6">
        <v>0.2320185615</v>
      </c>
      <c r="H40" s="7">
        <f t="shared" ref="H40:I40" si="29">E40-B40</f>
        <v>-0.7976807000000008</v>
      </c>
      <c r="I40" s="7">
        <f t="shared" si="29"/>
        <v>0.13251607393999998</v>
      </c>
    </row>
    <row r="41" spans="1:10" ht="15.75" customHeight="1">
      <c r="B41" s="5">
        <v>299.34963740000001</v>
      </c>
      <c r="C41" s="5">
        <v>3.4825870650000001</v>
      </c>
      <c r="E41" s="6">
        <v>299.62406019999997</v>
      </c>
      <c r="F41" s="6">
        <v>3.480278422</v>
      </c>
      <c r="H41" s="7">
        <f t="shared" ref="H41:I41" si="30">E41-B41</f>
        <v>0.27442279999996799</v>
      </c>
      <c r="I41" s="7">
        <f t="shared" si="30"/>
        <v>-2.3086430000001101E-3</v>
      </c>
    </row>
    <row r="42" spans="1:10" ht="15.75" customHeight="1">
      <c r="B42" s="5">
        <v>348.40796019999999</v>
      </c>
      <c r="C42" s="5">
        <v>11.641791039999999</v>
      </c>
      <c r="E42" s="6">
        <v>349.24812029999998</v>
      </c>
      <c r="F42" s="6">
        <v>11.60092807</v>
      </c>
      <c r="H42" s="7">
        <f t="shared" ref="H42:I42" si="31">E42-B42</f>
        <v>0.84016009999999142</v>
      </c>
      <c r="I42" s="7">
        <f t="shared" si="31"/>
        <v>-4.0862969999999166E-2</v>
      </c>
    </row>
    <row r="43" spans="1:10" ht="15.75" customHeight="1">
      <c r="B43" s="5">
        <v>398.27189349999998</v>
      </c>
      <c r="C43" s="5">
        <v>32.93532338</v>
      </c>
      <c r="E43" s="6">
        <v>400</v>
      </c>
      <c r="F43" s="6">
        <v>33.642691419999998</v>
      </c>
      <c r="H43" s="7">
        <f t="shared" ref="H43:I43" si="32">E43-B43</f>
        <v>1.728106500000024</v>
      </c>
      <c r="I43" s="7">
        <f t="shared" si="32"/>
        <v>0.70736803999999864</v>
      </c>
    </row>
    <row r="44" spans="1:10" ht="15.75" customHeight="1">
      <c r="B44" s="5">
        <v>447.95360549999998</v>
      </c>
      <c r="C44" s="5">
        <v>69.353233829999994</v>
      </c>
      <c r="E44" s="6">
        <v>449.62406019999997</v>
      </c>
      <c r="F44" s="6">
        <v>69.837587009999993</v>
      </c>
      <c r="H44" s="7">
        <f t="shared" ref="H44:I44" si="33">E44-B44</f>
        <v>1.6704546999999934</v>
      </c>
      <c r="I44" s="7">
        <f t="shared" si="33"/>
        <v>0.48435317999999938</v>
      </c>
    </row>
    <row r="45" spans="1:10" ht="15.75" customHeight="1">
      <c r="B45" s="5">
        <v>497.7815741</v>
      </c>
      <c r="C45" s="5">
        <v>93.631840800000006</v>
      </c>
      <c r="E45" s="6">
        <v>499.24812029999998</v>
      </c>
      <c r="F45" s="6">
        <v>93.271461720000005</v>
      </c>
      <c r="H45" s="7">
        <f t="shared" ref="H45:I45" si="34">E45-B45</f>
        <v>1.466546199999982</v>
      </c>
      <c r="I45" s="7">
        <f t="shared" si="34"/>
        <v>-0.3603790800000013</v>
      </c>
    </row>
    <row r="46" spans="1:10" ht="15.75" customHeight="1">
      <c r="B46" s="5">
        <v>546.41551279999999</v>
      </c>
      <c r="C46" s="5">
        <v>97.01492537</v>
      </c>
      <c r="E46" s="6">
        <v>549.43609019999997</v>
      </c>
      <c r="F46" s="6">
        <v>96.983758699999996</v>
      </c>
      <c r="H46" s="7">
        <f t="shared" ref="H46:I46" si="35">E46-B46</f>
        <v>3.0205773999999792</v>
      </c>
      <c r="I46" s="7">
        <f t="shared" si="35"/>
        <v>-3.1166670000004615E-2</v>
      </c>
    </row>
    <row r="47" spans="1:10" ht="15.75" customHeight="1">
      <c r="H47" s="7"/>
      <c r="I47" s="7"/>
    </row>
    <row r="48" spans="1:10" ht="15.75" customHeight="1">
      <c r="H48" s="8">
        <f t="shared" ref="H48:I48" si="36">AVERAGE(H2:H38)</f>
        <v>0.58343085545454021</v>
      </c>
      <c r="I48" s="8">
        <f t="shared" si="36"/>
        <v>1.8967124446428323E-2</v>
      </c>
      <c r="J48" s="9" t="s">
        <v>6</v>
      </c>
    </row>
    <row r="49" spans="8:10" ht="15.75" customHeight="1">
      <c r="H49" s="8">
        <f t="shared" ref="H49:I49" si="37">MEDIAN(H2:H38)</f>
        <v>0.54524909999997817</v>
      </c>
      <c r="I49" s="8">
        <f t="shared" si="37"/>
        <v>1.9956694999997637E-2</v>
      </c>
      <c r="J49" s="9" t="s">
        <v>7</v>
      </c>
    </row>
    <row r="50" spans="8:10" ht="15.75" customHeight="1">
      <c r="H50" s="8">
        <f t="shared" ref="H50:I50" si="38">MAX(H2:H49)</f>
        <v>4.4440662000000088</v>
      </c>
      <c r="I50" s="8">
        <f t="shared" si="38"/>
        <v>0.99456314720000005</v>
      </c>
      <c r="J50" s="9" t="s">
        <v>8</v>
      </c>
    </row>
    <row r="51" spans="8:10" ht="15.75" customHeight="1"/>
    <row r="52" spans="8:10" ht="15.75" customHeight="1"/>
    <row r="53" spans="8:10" ht="15.75" customHeight="1"/>
    <row r="54" spans="8:10" ht="15.75" customHeight="1"/>
    <row r="55" spans="8:10" ht="15.75" customHeight="1"/>
    <row r="56" spans="8:10" ht="15.75" customHeight="1"/>
    <row r="57" spans="8:10" ht="15.75" customHeight="1"/>
    <row r="58" spans="8:10" ht="15.75" customHeight="1"/>
    <row r="59" spans="8:10" ht="15.75" customHeight="1"/>
    <row r="60" spans="8:10" ht="15.75" customHeight="1"/>
    <row r="61" spans="8:10" ht="15.75" customHeight="1"/>
    <row r="62" spans="8:10" ht="15.75" customHeight="1"/>
    <row r="63" spans="8:10" ht="15.75" customHeight="1"/>
    <row r="64" spans="8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21"/>
  <sheetViews>
    <sheetView workbookViewId="0"/>
  </sheetViews>
  <sheetFormatPr defaultColWidth="11.25" defaultRowHeight="15" customHeight="1"/>
  <sheetData>
    <row r="1" spans="1:6">
      <c r="E1" s="12" t="s">
        <v>1</v>
      </c>
      <c r="F1" s="13"/>
    </row>
    <row r="2" spans="1:6">
      <c r="A2" s="14" t="s">
        <v>33</v>
      </c>
      <c r="E2" s="15">
        <v>422.88135590000002</v>
      </c>
      <c r="F2" s="15">
        <v>0</v>
      </c>
    </row>
    <row r="3" spans="1:6">
      <c r="E3" s="15">
        <v>472.88135590000002</v>
      </c>
      <c r="F3" s="15">
        <v>2.8571428569999999</v>
      </c>
    </row>
    <row r="4" spans="1:6">
      <c r="E4" s="15">
        <v>522.88135590000002</v>
      </c>
      <c r="F4" s="15">
        <v>16.25</v>
      </c>
    </row>
    <row r="5" spans="1:6">
      <c r="E5" s="15">
        <v>572.88135590000002</v>
      </c>
      <c r="F5" s="15">
        <v>34.642857139999997</v>
      </c>
    </row>
    <row r="6" spans="1:6">
      <c r="E6" s="15">
        <v>622.88135590000002</v>
      </c>
      <c r="F6" s="15">
        <v>50.178571429999998</v>
      </c>
    </row>
    <row r="7" spans="1:6">
      <c r="E7" s="15">
        <v>672.88135590000002</v>
      </c>
      <c r="F7" s="15">
        <v>63.928571429999998</v>
      </c>
    </row>
    <row r="8" spans="1:6">
      <c r="E8" s="15">
        <v>722.88135590000002</v>
      </c>
      <c r="F8" s="15">
        <v>75.178571430000005</v>
      </c>
    </row>
    <row r="9" spans="1:6">
      <c r="E9" s="15">
        <v>772.88135590000002</v>
      </c>
      <c r="F9" s="15">
        <v>93.571428569999995</v>
      </c>
    </row>
    <row r="10" spans="1:6">
      <c r="E10" s="15">
        <v>822.88135590000002</v>
      </c>
      <c r="F10" s="15">
        <v>100.1785714</v>
      </c>
    </row>
    <row r="11" spans="1:6">
      <c r="E11" s="15"/>
      <c r="F11" s="15"/>
    </row>
    <row r="12" spans="1:6">
      <c r="A12" s="14" t="s">
        <v>34</v>
      </c>
      <c r="E12" s="15">
        <v>472.88135590000002</v>
      </c>
      <c r="F12" s="15">
        <v>0</v>
      </c>
    </row>
    <row r="13" spans="1:6">
      <c r="E13" s="15">
        <v>523.72881359999997</v>
      </c>
      <c r="F13" s="15">
        <v>-0.1785714286</v>
      </c>
    </row>
    <row r="14" spans="1:6">
      <c r="E14" s="15">
        <v>572.88135590000002</v>
      </c>
      <c r="F14" s="15">
        <v>-0.1785714286</v>
      </c>
    </row>
    <row r="15" spans="1:6">
      <c r="E15" s="15">
        <v>622.88135590000002</v>
      </c>
      <c r="F15" s="15">
        <v>11.42857143</v>
      </c>
    </row>
    <row r="16" spans="1:6">
      <c r="E16" s="15">
        <v>672.88135590000002</v>
      </c>
      <c r="F16" s="15">
        <v>28.39285714</v>
      </c>
    </row>
    <row r="17" spans="5:6">
      <c r="E17" s="15">
        <v>722.88135590000002</v>
      </c>
      <c r="F17" s="15">
        <v>42.678571429999998</v>
      </c>
    </row>
    <row r="18" spans="5:6">
      <c r="E18" s="15">
        <v>772.88135590000002</v>
      </c>
      <c r="F18" s="15">
        <v>53.035714290000001</v>
      </c>
    </row>
    <row r="19" spans="5:6">
      <c r="E19" s="15">
        <v>822.88135590000002</v>
      </c>
      <c r="F19" s="15">
        <v>68.75</v>
      </c>
    </row>
    <row r="20" spans="5:6">
      <c r="E20" s="15">
        <v>872.88135590000002</v>
      </c>
      <c r="F20" s="15">
        <v>89.642857140000004</v>
      </c>
    </row>
    <row r="21" spans="5:6">
      <c r="E21" s="15">
        <v>922.88135590000002</v>
      </c>
      <c r="F21" s="15">
        <v>99.107142859999996</v>
      </c>
    </row>
  </sheetData>
  <pageMargins left="0" right="0" top="0" bottom="0" header="0" footer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33"/>
  <sheetViews>
    <sheetView workbookViewId="0"/>
  </sheetViews>
  <sheetFormatPr defaultColWidth="11.25" defaultRowHeight="15" customHeight="1"/>
  <sheetData>
    <row r="1" spans="1:6">
      <c r="E1" s="12" t="s">
        <v>1</v>
      </c>
    </row>
    <row r="2" spans="1:6">
      <c r="A2" s="4" t="s">
        <v>35</v>
      </c>
      <c r="E2" s="15">
        <v>422.54428339999998</v>
      </c>
      <c r="F2" s="15">
        <v>-0.1872659176</v>
      </c>
    </row>
    <row r="3" spans="1:6">
      <c r="E3" s="15">
        <v>473.4299517</v>
      </c>
      <c r="F3" s="15">
        <v>0.1872659176</v>
      </c>
    </row>
    <row r="4" spans="1:6">
      <c r="E4" s="15">
        <v>522.38325280000004</v>
      </c>
      <c r="F4" s="15">
        <v>1.872659176</v>
      </c>
    </row>
    <row r="5" spans="1:6">
      <c r="E5" s="15">
        <v>571.98067630000003</v>
      </c>
      <c r="F5" s="15">
        <v>20.03745318</v>
      </c>
    </row>
    <row r="6" spans="1:6">
      <c r="E6" s="15">
        <v>622.22222220000003</v>
      </c>
      <c r="F6" s="15">
        <v>43.445692880000003</v>
      </c>
    </row>
    <row r="7" spans="1:6">
      <c r="E7" s="15">
        <v>672.46376810000004</v>
      </c>
      <c r="F7" s="15">
        <v>60.674157299999997</v>
      </c>
    </row>
    <row r="8" spans="1:6">
      <c r="E8" s="15">
        <v>722.70531400000004</v>
      </c>
      <c r="F8" s="15">
        <v>77.528089890000004</v>
      </c>
    </row>
    <row r="9" spans="1:6">
      <c r="E9" s="15">
        <v>772.30273750000003</v>
      </c>
      <c r="F9" s="15">
        <v>97.003745319999993</v>
      </c>
    </row>
    <row r="10" spans="1:6">
      <c r="E10" s="15"/>
      <c r="F10" s="15"/>
    </row>
    <row r="11" spans="1:6">
      <c r="A11" s="4" t="s">
        <v>36</v>
      </c>
      <c r="E11" s="15">
        <v>423.1884058</v>
      </c>
      <c r="F11" s="15">
        <v>-0.1872659176</v>
      </c>
    </row>
    <row r="12" spans="1:6">
      <c r="E12" s="15">
        <v>473.4299517</v>
      </c>
      <c r="F12" s="15">
        <v>10.112359550000001</v>
      </c>
    </row>
    <row r="13" spans="1:6">
      <c r="E13" s="15">
        <v>523.02737520000005</v>
      </c>
      <c r="F13" s="15">
        <v>22.659176030000001</v>
      </c>
    </row>
    <row r="14" spans="1:6">
      <c r="E14" s="15">
        <v>573.26892109999994</v>
      </c>
      <c r="F14" s="15">
        <v>42.696629209999998</v>
      </c>
    </row>
    <row r="15" spans="1:6">
      <c r="E15" s="15">
        <v>622.86634460000005</v>
      </c>
      <c r="F15" s="15">
        <v>62.921348309999999</v>
      </c>
    </row>
    <row r="16" spans="1:6">
      <c r="E16" s="15">
        <v>672.46376810000004</v>
      </c>
      <c r="F16" s="15">
        <v>88.202247189999994</v>
      </c>
    </row>
    <row r="17" spans="1:6">
      <c r="E17" s="15">
        <v>722.06119160000003</v>
      </c>
      <c r="F17" s="15">
        <v>100</v>
      </c>
    </row>
    <row r="18" spans="1:6">
      <c r="E18" s="15"/>
      <c r="F18" s="15"/>
    </row>
    <row r="19" spans="1:6">
      <c r="A19" s="4" t="s">
        <v>37</v>
      </c>
      <c r="E19" s="15">
        <v>472.78582929999999</v>
      </c>
      <c r="F19" s="15">
        <v>0</v>
      </c>
    </row>
    <row r="20" spans="1:6">
      <c r="E20" s="15">
        <v>523.02737520000005</v>
      </c>
      <c r="F20" s="15">
        <v>17.0411985</v>
      </c>
    </row>
    <row r="21" spans="1:6">
      <c r="E21" s="15">
        <v>572.62479870000004</v>
      </c>
      <c r="F21" s="15">
        <v>42.883895129999999</v>
      </c>
    </row>
    <row r="22" spans="1:6">
      <c r="E22" s="15">
        <v>622.86634460000005</v>
      </c>
      <c r="F22" s="15">
        <v>62.921348309999999</v>
      </c>
    </row>
    <row r="23" spans="1:6">
      <c r="E23" s="15">
        <v>672.46376810000004</v>
      </c>
      <c r="F23" s="15">
        <v>76.779026220000006</v>
      </c>
    </row>
    <row r="24" spans="1:6">
      <c r="E24" s="15">
        <v>722.06119160000003</v>
      </c>
      <c r="F24" s="15">
        <v>87.827715359999999</v>
      </c>
    </row>
    <row r="25" spans="1:6">
      <c r="E25" s="15">
        <v>772.94685990000005</v>
      </c>
      <c r="F25" s="15">
        <v>100.1872659</v>
      </c>
    </row>
    <row r="26" spans="1:6">
      <c r="E26" s="15"/>
      <c r="F26" s="15"/>
    </row>
    <row r="27" spans="1:6">
      <c r="A27" s="4" t="s">
        <v>38</v>
      </c>
      <c r="E27" s="15">
        <v>472.78582929999999</v>
      </c>
      <c r="F27" s="15">
        <v>0</v>
      </c>
    </row>
    <row r="28" spans="1:6">
      <c r="E28" s="15">
        <v>523.67149759999995</v>
      </c>
      <c r="F28" s="15">
        <v>-0.1872659176</v>
      </c>
    </row>
    <row r="29" spans="1:6">
      <c r="E29" s="15">
        <v>572.62479870000004</v>
      </c>
      <c r="F29" s="15">
        <v>2.808988764</v>
      </c>
    </row>
    <row r="30" spans="1:6">
      <c r="E30" s="15">
        <v>622.86634460000005</v>
      </c>
      <c r="F30" s="15">
        <v>42.883895129999999</v>
      </c>
    </row>
    <row r="31" spans="1:6">
      <c r="E31" s="15">
        <v>672.46376810000004</v>
      </c>
      <c r="F31" s="15">
        <v>60.674157299999997</v>
      </c>
    </row>
    <row r="32" spans="1:6">
      <c r="E32" s="15">
        <v>722.06119160000003</v>
      </c>
      <c r="F32" s="15">
        <v>78.651685389999997</v>
      </c>
    </row>
    <row r="33" spans="5:6">
      <c r="E33" s="15">
        <v>772.30273750000003</v>
      </c>
      <c r="F33" s="15">
        <v>100.1872659</v>
      </c>
    </row>
  </sheetData>
  <pageMargins left="0" right="0" top="0" bottom="0" header="0" footer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32"/>
  <sheetViews>
    <sheetView workbookViewId="0"/>
  </sheetViews>
  <sheetFormatPr defaultColWidth="11.25" defaultRowHeight="15" customHeight="1"/>
  <sheetData>
    <row r="1" spans="1:6">
      <c r="E1" s="12" t="s">
        <v>1</v>
      </c>
      <c r="F1" s="13"/>
    </row>
    <row r="2" spans="1:6">
      <c r="A2" s="4" t="s">
        <v>33</v>
      </c>
      <c r="E2" s="15">
        <v>423.3628319</v>
      </c>
      <c r="F2" s="15">
        <v>0</v>
      </c>
    </row>
    <row r="3" spans="1:6">
      <c r="E3" s="15">
        <v>472.92035399999997</v>
      </c>
      <c r="F3" s="15">
        <v>2.7322404370000002</v>
      </c>
    </row>
    <row r="4" spans="1:6">
      <c r="E4" s="15">
        <v>522.4778761</v>
      </c>
      <c r="F4" s="15">
        <v>16.393442619999998</v>
      </c>
    </row>
    <row r="5" spans="1:6">
      <c r="E5" s="15">
        <v>573.45132739999997</v>
      </c>
      <c r="F5" s="15">
        <v>34.79052823</v>
      </c>
    </row>
    <row r="6" spans="1:6">
      <c r="E6" s="15">
        <v>623.00884959999996</v>
      </c>
      <c r="F6" s="15">
        <v>50.091074679999998</v>
      </c>
    </row>
    <row r="7" spans="1:6">
      <c r="E7" s="15">
        <v>673.27433629999996</v>
      </c>
      <c r="F7" s="15">
        <v>63.752276870000003</v>
      </c>
    </row>
    <row r="8" spans="1:6">
      <c r="E8" s="15">
        <v>723.53982299999996</v>
      </c>
      <c r="F8" s="15">
        <v>74.681238620000002</v>
      </c>
    </row>
    <row r="9" spans="1:6">
      <c r="E9" s="15">
        <v>772.38938050000002</v>
      </c>
      <c r="F9" s="15">
        <v>92.896174860000002</v>
      </c>
    </row>
    <row r="10" spans="1:6">
      <c r="E10" s="15">
        <v>824.07079650000003</v>
      </c>
      <c r="F10" s="15">
        <v>100</v>
      </c>
    </row>
    <row r="11" spans="1:6">
      <c r="E11" s="15"/>
      <c r="F11" s="15"/>
    </row>
    <row r="12" spans="1:6">
      <c r="A12" s="4" t="s">
        <v>39</v>
      </c>
      <c r="E12" s="15">
        <v>422.65486729999998</v>
      </c>
      <c r="F12" s="15">
        <v>1.821493625</v>
      </c>
    </row>
    <row r="13" spans="1:6">
      <c r="E13" s="15">
        <v>472.92035399999997</v>
      </c>
      <c r="F13" s="15">
        <v>18.214936250000001</v>
      </c>
    </row>
    <row r="14" spans="1:6">
      <c r="E14" s="15">
        <v>523.18584069999997</v>
      </c>
      <c r="F14" s="15">
        <v>35.70127505</v>
      </c>
    </row>
    <row r="15" spans="1:6">
      <c r="E15" s="15">
        <v>574.15929200000005</v>
      </c>
      <c r="F15" s="15">
        <v>49.362477230000003</v>
      </c>
    </row>
    <row r="16" spans="1:6">
      <c r="E16" s="15">
        <v>623.71681420000004</v>
      </c>
      <c r="F16" s="15">
        <v>64.298724949999993</v>
      </c>
    </row>
    <row r="17" spans="1:6">
      <c r="E17" s="15">
        <v>672.56637169999999</v>
      </c>
      <c r="F17" s="15">
        <v>95.992714030000002</v>
      </c>
    </row>
    <row r="18" spans="1:6">
      <c r="E18" s="15">
        <v>698.76106189999996</v>
      </c>
      <c r="F18" s="15">
        <v>99.817850640000003</v>
      </c>
    </row>
    <row r="19" spans="1:6">
      <c r="E19" s="15">
        <v>724.24778760000004</v>
      </c>
      <c r="F19" s="15">
        <v>100</v>
      </c>
    </row>
    <row r="20" spans="1:6">
      <c r="E20" s="15">
        <v>773.09734509999998</v>
      </c>
      <c r="F20" s="15">
        <v>99.817850640000003</v>
      </c>
    </row>
    <row r="21" spans="1:6">
      <c r="E21" s="15"/>
      <c r="F21" s="15"/>
    </row>
    <row r="22" spans="1:6">
      <c r="A22" s="4" t="s">
        <v>40</v>
      </c>
      <c r="E22" s="15">
        <v>473.6283186</v>
      </c>
      <c r="F22" s="15">
        <v>-0.18214936249999999</v>
      </c>
    </row>
    <row r="23" spans="1:6">
      <c r="E23" s="15">
        <v>573.45132739999997</v>
      </c>
      <c r="F23" s="15">
        <v>26.229508200000001</v>
      </c>
    </row>
    <row r="24" spans="1:6">
      <c r="E24" s="15">
        <v>672.56637169999999</v>
      </c>
      <c r="F24" s="15">
        <v>57.012750459999999</v>
      </c>
    </row>
    <row r="25" spans="1:6">
      <c r="E25" s="15">
        <v>723.53982299999996</v>
      </c>
      <c r="F25" s="15">
        <v>69.216757740000006</v>
      </c>
    </row>
    <row r="26" spans="1:6">
      <c r="E26" s="15">
        <v>773.80530969999995</v>
      </c>
      <c r="F26" s="15">
        <v>99.453551910000002</v>
      </c>
    </row>
    <row r="27" spans="1:6">
      <c r="E27" s="15"/>
      <c r="F27" s="15"/>
    </row>
    <row r="28" spans="1:6">
      <c r="A28" s="4" t="s">
        <v>41</v>
      </c>
      <c r="E28" s="15">
        <v>472.92035399999997</v>
      </c>
      <c r="F28" s="15">
        <v>0.91074681239999999</v>
      </c>
    </row>
    <row r="29" spans="1:6">
      <c r="E29" s="15">
        <v>419.82300880000003</v>
      </c>
      <c r="F29" s="15">
        <v>0.91074681239999999</v>
      </c>
    </row>
    <row r="30" spans="1:6">
      <c r="E30" s="15">
        <v>573.45132739999997</v>
      </c>
      <c r="F30" s="15">
        <v>32.058287800000002</v>
      </c>
    </row>
    <row r="31" spans="1:6">
      <c r="E31" s="15">
        <v>673.27433629999996</v>
      </c>
      <c r="F31" s="15">
        <v>69.398907100000002</v>
      </c>
    </row>
    <row r="32" spans="1:6">
      <c r="E32" s="15">
        <v>773.09734509999998</v>
      </c>
      <c r="F32" s="15">
        <v>99.817850640000003</v>
      </c>
    </row>
  </sheetData>
  <pageMargins left="0" right="0" top="0" bottom="0" header="0" footer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3:D11"/>
  <sheetViews>
    <sheetView workbookViewId="0"/>
  </sheetViews>
  <sheetFormatPr defaultColWidth="11.25" defaultRowHeight="15" customHeight="1"/>
  <sheetData>
    <row r="3" spans="1:4">
      <c r="D3" s="12" t="s">
        <v>1</v>
      </c>
    </row>
    <row r="4" spans="1:4">
      <c r="A4" s="14">
        <v>0</v>
      </c>
      <c r="D4" s="15">
        <v>64.358974360000005</v>
      </c>
    </row>
    <row r="5" spans="1:4">
      <c r="A5" s="14">
        <v>0.3</v>
      </c>
      <c r="D5" s="15">
        <v>69.194139190000001</v>
      </c>
    </row>
    <row r="6" spans="1:4">
      <c r="A6" s="14">
        <v>0.5</v>
      </c>
      <c r="D6" s="15">
        <v>72.051282049999998</v>
      </c>
    </row>
    <row r="7" spans="1:4">
      <c r="A7" s="14">
        <v>0.6</v>
      </c>
      <c r="D7" s="15">
        <v>77.252747249999999</v>
      </c>
    </row>
    <row r="8" spans="1:4">
      <c r="A8" s="14">
        <v>0.7</v>
      </c>
      <c r="D8" s="15">
        <v>82.820512820000005</v>
      </c>
    </row>
    <row r="9" spans="1:4">
      <c r="A9" s="14">
        <v>0.8</v>
      </c>
      <c r="D9" s="15">
        <v>79.304029299999996</v>
      </c>
    </row>
    <row r="10" spans="1:4">
      <c r="A10" s="14">
        <v>0.9</v>
      </c>
      <c r="D10" s="15">
        <v>75.421245420000005</v>
      </c>
    </row>
    <row r="11" spans="1:4">
      <c r="A11" s="14">
        <v>1</v>
      </c>
      <c r="D11" s="15">
        <v>61.794871790000002</v>
      </c>
    </row>
  </sheetData>
  <pageMargins left="0" right="0" top="0" bottom="0" header="0" footer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F36"/>
  <sheetViews>
    <sheetView workbookViewId="0"/>
  </sheetViews>
  <sheetFormatPr defaultColWidth="11.25" defaultRowHeight="15" customHeight="1"/>
  <sheetData>
    <row r="1" spans="1:6">
      <c r="E1" s="12" t="s">
        <v>1</v>
      </c>
      <c r="F1" s="13"/>
    </row>
    <row r="2" spans="1:6">
      <c r="A2" s="4" t="s">
        <v>42</v>
      </c>
      <c r="E2" s="15">
        <v>399.46380699999997</v>
      </c>
      <c r="F2" s="15">
        <v>6.7039106149999999</v>
      </c>
    </row>
    <row r="3" spans="1:6">
      <c r="E3" s="15">
        <v>449.73190349999999</v>
      </c>
      <c r="F3" s="15">
        <v>22.160148979999999</v>
      </c>
    </row>
    <row r="4" spans="1:6">
      <c r="E4" s="15">
        <v>499.59785520000003</v>
      </c>
      <c r="F4" s="15">
        <v>51.769087519999999</v>
      </c>
    </row>
    <row r="5" spans="1:6">
      <c r="E5" s="15">
        <v>549.86595169999998</v>
      </c>
      <c r="F5" s="15">
        <v>82.867783990000007</v>
      </c>
    </row>
    <row r="6" spans="1:6">
      <c r="E6" s="15">
        <v>600.13404830000002</v>
      </c>
      <c r="F6" s="15">
        <v>99.255121040000006</v>
      </c>
    </row>
    <row r="7" spans="1:6">
      <c r="E7" s="15"/>
      <c r="F7" s="15"/>
    </row>
    <row r="8" spans="1:6">
      <c r="A8" s="4" t="s">
        <v>43</v>
      </c>
      <c r="E8" s="15">
        <v>399.0616622</v>
      </c>
      <c r="F8" s="15">
        <v>8.7523277470000007</v>
      </c>
    </row>
    <row r="9" spans="1:6">
      <c r="E9" s="15">
        <v>450.13404830000002</v>
      </c>
      <c r="F9" s="15">
        <v>20.67039106</v>
      </c>
    </row>
    <row r="10" spans="1:6">
      <c r="E10" s="15">
        <v>500</v>
      </c>
      <c r="F10" s="15">
        <v>46.55493482</v>
      </c>
    </row>
    <row r="11" spans="1:6">
      <c r="E11" s="15">
        <v>549.46380699999997</v>
      </c>
      <c r="F11" s="15">
        <v>79.32960894</v>
      </c>
    </row>
    <row r="12" spans="1:6">
      <c r="E12" s="15">
        <v>599.73190350000004</v>
      </c>
      <c r="F12" s="15">
        <v>96.834264430000005</v>
      </c>
    </row>
    <row r="13" spans="1:6">
      <c r="E13" s="15"/>
      <c r="F13" s="15"/>
    </row>
    <row r="14" spans="1:6">
      <c r="A14" s="4" t="s">
        <v>44</v>
      </c>
      <c r="E14" s="15">
        <v>399.0616622</v>
      </c>
      <c r="F14" s="15">
        <v>4.8417132220000001</v>
      </c>
    </row>
    <row r="15" spans="1:6">
      <c r="E15" s="15">
        <v>450.53619300000003</v>
      </c>
      <c r="F15" s="15">
        <v>16.38733706</v>
      </c>
    </row>
    <row r="16" spans="1:6">
      <c r="E16" s="15">
        <v>499.59785520000003</v>
      </c>
      <c r="F16" s="15">
        <v>41.34078212</v>
      </c>
    </row>
    <row r="17" spans="1:6">
      <c r="E17" s="15">
        <v>549.86595169999998</v>
      </c>
      <c r="F17" s="15">
        <v>72.067039109999996</v>
      </c>
    </row>
    <row r="18" spans="1:6">
      <c r="E18" s="15">
        <v>600.13404830000002</v>
      </c>
      <c r="F18" s="15">
        <v>94.7858473</v>
      </c>
    </row>
    <row r="19" spans="1:6">
      <c r="E19" s="15"/>
      <c r="F19" s="15"/>
    </row>
    <row r="20" spans="1:6">
      <c r="A20" s="4" t="s">
        <v>45</v>
      </c>
      <c r="E20" s="15">
        <v>399.86595169999998</v>
      </c>
      <c r="F20" s="15">
        <v>7.2625698319999996</v>
      </c>
    </row>
    <row r="21" spans="1:6">
      <c r="E21" s="15">
        <v>450.13404830000002</v>
      </c>
      <c r="F21" s="15">
        <v>18.06331471</v>
      </c>
    </row>
    <row r="22" spans="1:6">
      <c r="E22" s="15">
        <v>499.59785520000003</v>
      </c>
      <c r="F22" s="15">
        <v>42.644320299999997</v>
      </c>
    </row>
    <row r="23" spans="1:6">
      <c r="E23" s="15">
        <v>549.46380699999997</v>
      </c>
      <c r="F23" s="15">
        <v>76.908752329999999</v>
      </c>
    </row>
    <row r="24" spans="1:6">
      <c r="E24" s="15">
        <v>599.73190350000004</v>
      </c>
      <c r="F24" s="15">
        <v>95.344506519999996</v>
      </c>
    </row>
    <row r="25" spans="1:6">
      <c r="E25" s="15"/>
      <c r="F25" s="15"/>
    </row>
    <row r="26" spans="1:6">
      <c r="A26" s="4" t="s">
        <v>46</v>
      </c>
      <c r="E26" s="15">
        <v>399.46380699999997</v>
      </c>
      <c r="F26" s="15">
        <v>3.9106145250000002</v>
      </c>
    </row>
    <row r="27" spans="1:6">
      <c r="E27" s="15">
        <v>449.73190349999999</v>
      </c>
      <c r="F27" s="15">
        <v>10.242085660000001</v>
      </c>
    </row>
    <row r="28" spans="1:6">
      <c r="E28" s="15">
        <v>500.80428949999998</v>
      </c>
      <c r="F28" s="15">
        <v>29.236499070000001</v>
      </c>
    </row>
    <row r="29" spans="1:6">
      <c r="E29" s="15">
        <v>550.26809649999996</v>
      </c>
      <c r="F29" s="15">
        <v>61.080074490000001</v>
      </c>
    </row>
    <row r="30" spans="1:6">
      <c r="E30" s="15">
        <v>600.13404830000002</v>
      </c>
      <c r="F30" s="15">
        <v>87.523277469999996</v>
      </c>
    </row>
    <row r="31" spans="1:6">
      <c r="E31" s="15"/>
      <c r="F31" s="15"/>
    </row>
    <row r="32" spans="1:6">
      <c r="A32" s="4" t="s">
        <v>47</v>
      </c>
      <c r="E32" s="15">
        <v>399.46380699999997</v>
      </c>
      <c r="F32" s="15">
        <v>4.8417132220000001</v>
      </c>
    </row>
    <row r="33" spans="5:6">
      <c r="E33" s="15">
        <v>449.73190349999999</v>
      </c>
      <c r="F33" s="15">
        <v>14.152700189999999</v>
      </c>
    </row>
    <row r="34" spans="5:6">
      <c r="E34" s="15">
        <v>500</v>
      </c>
      <c r="F34" s="15">
        <v>37.430167599999997</v>
      </c>
    </row>
    <row r="35" spans="5:6">
      <c r="E35" s="15">
        <v>549.46380699999997</v>
      </c>
      <c r="F35" s="15">
        <v>69.087523279999999</v>
      </c>
    </row>
    <row r="36" spans="5:6">
      <c r="E36" s="15">
        <v>599.32975869999996</v>
      </c>
      <c r="F36" s="15">
        <v>94.227188080000005</v>
      </c>
    </row>
  </sheetData>
  <pageMargins left="0" right="0" top="0" bottom="0" header="0" footer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F12"/>
  <sheetViews>
    <sheetView workbookViewId="0"/>
  </sheetViews>
  <sheetFormatPr defaultColWidth="11.25" defaultRowHeight="15" customHeight="1"/>
  <sheetData>
    <row r="1" spans="1:6">
      <c r="E1" s="12" t="s">
        <v>1</v>
      </c>
      <c r="F1" s="13"/>
    </row>
    <row r="2" spans="1:6">
      <c r="A2" s="4" t="s">
        <v>48</v>
      </c>
      <c r="E2" s="15">
        <v>399.4023904</v>
      </c>
      <c r="F2" s="15">
        <v>0.36968576710000001</v>
      </c>
    </row>
    <row r="3" spans="1:6">
      <c r="E3" s="15">
        <v>449.6015936</v>
      </c>
      <c r="F3" s="15">
        <v>4.0665434380000001</v>
      </c>
    </row>
    <row r="4" spans="1:6">
      <c r="E4" s="15">
        <v>499.8007968</v>
      </c>
      <c r="F4" s="15">
        <v>14.23290203</v>
      </c>
    </row>
    <row r="5" spans="1:6">
      <c r="E5" s="15">
        <v>549.6015936</v>
      </c>
      <c r="F5" s="15">
        <v>38.447319780000001</v>
      </c>
    </row>
    <row r="6" spans="1:6">
      <c r="E6" s="15">
        <v>599.80079679999994</v>
      </c>
      <c r="F6" s="15">
        <v>73.937153420000001</v>
      </c>
    </row>
    <row r="7" spans="1:6">
      <c r="E7" s="15"/>
      <c r="F7" s="15"/>
    </row>
    <row r="8" spans="1:6">
      <c r="A8" s="4" t="s">
        <v>49</v>
      </c>
      <c r="E8" s="15">
        <v>400.1992032</v>
      </c>
      <c r="F8" s="15">
        <v>6.8391866910000001</v>
      </c>
    </row>
    <row r="9" spans="1:6">
      <c r="E9" s="15">
        <v>450</v>
      </c>
      <c r="F9" s="15">
        <v>22.181146030000001</v>
      </c>
    </row>
    <row r="10" spans="1:6">
      <c r="E10" s="15">
        <v>499.8007968</v>
      </c>
      <c r="F10" s="15">
        <v>51.940850279999999</v>
      </c>
    </row>
    <row r="11" spans="1:6">
      <c r="E11" s="15">
        <v>549.6015936</v>
      </c>
      <c r="F11" s="15">
        <v>82.994454709999999</v>
      </c>
    </row>
    <row r="12" spans="1:6">
      <c r="E12" s="15">
        <v>599.80079679999994</v>
      </c>
      <c r="F12" s="15">
        <v>99.445471350000005</v>
      </c>
    </row>
  </sheetData>
  <pageMargins left="0" right="0" top="0" bottom="0" header="0" footer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F27"/>
  <sheetViews>
    <sheetView workbookViewId="0"/>
  </sheetViews>
  <sheetFormatPr defaultColWidth="11.25" defaultRowHeight="15" customHeight="1"/>
  <sheetData>
    <row r="1" spans="1:6">
      <c r="E1" s="12" t="s">
        <v>1</v>
      </c>
      <c r="F1" s="13"/>
    </row>
    <row r="2" spans="1:6">
      <c r="A2" s="14" t="s">
        <v>49</v>
      </c>
      <c r="E2" s="15">
        <v>20.025031290000001</v>
      </c>
      <c r="F2" s="15">
        <v>21.31147541</v>
      </c>
    </row>
    <row r="3" spans="1:6">
      <c r="E3" s="15">
        <v>80.100125160000005</v>
      </c>
      <c r="F3" s="15">
        <v>22.040072859999999</v>
      </c>
    </row>
    <row r="4" spans="1:6">
      <c r="E4" s="15">
        <v>140.175219</v>
      </c>
      <c r="F4" s="15">
        <v>22.040072859999999</v>
      </c>
    </row>
    <row r="5" spans="1:6">
      <c r="E5" s="15">
        <v>200.25031290000001</v>
      </c>
      <c r="F5" s="15">
        <v>22.222222219999999</v>
      </c>
    </row>
    <row r="6" spans="1:6">
      <c r="E6" s="15">
        <v>258.32290360000002</v>
      </c>
      <c r="F6" s="15">
        <v>22.222222219999999</v>
      </c>
    </row>
    <row r="7" spans="1:6">
      <c r="E7" s="15">
        <v>320.40050059999999</v>
      </c>
      <c r="F7" s="15">
        <v>22.222222219999999</v>
      </c>
    </row>
    <row r="8" spans="1:6">
      <c r="E8" s="15">
        <v>378.47309139999999</v>
      </c>
      <c r="F8" s="15">
        <v>22.222222219999999</v>
      </c>
    </row>
    <row r="9" spans="1:6">
      <c r="E9" s="15">
        <v>438.54818519999998</v>
      </c>
      <c r="F9" s="15">
        <v>22.222222219999999</v>
      </c>
    </row>
    <row r="10" spans="1:6">
      <c r="E10" s="15">
        <v>500.6257822</v>
      </c>
      <c r="F10" s="15">
        <v>22.040072859999999</v>
      </c>
    </row>
    <row r="11" spans="1:6">
      <c r="E11" s="15">
        <v>560.70087609999996</v>
      </c>
      <c r="F11" s="15">
        <v>99.271402550000005</v>
      </c>
    </row>
    <row r="12" spans="1:6">
      <c r="E12" s="15">
        <v>620.77597000000003</v>
      </c>
      <c r="F12" s="15">
        <v>99.089253189999994</v>
      </c>
    </row>
    <row r="13" spans="1:6">
      <c r="E13" s="15">
        <v>678.84856070000001</v>
      </c>
      <c r="F13" s="15">
        <v>99.089253189999994</v>
      </c>
    </row>
    <row r="14" spans="1:6">
      <c r="E14" s="15">
        <v>738.92365459999996</v>
      </c>
      <c r="F14" s="15">
        <v>99.271402550000005</v>
      </c>
    </row>
    <row r="15" spans="1:6">
      <c r="E15" s="15">
        <v>798.99874839999995</v>
      </c>
      <c r="F15" s="15">
        <v>99.089253189999994</v>
      </c>
    </row>
    <row r="16" spans="1:6">
      <c r="E16" s="15">
        <v>859.07384230000002</v>
      </c>
      <c r="F16" s="15">
        <v>99.089253189999994</v>
      </c>
    </row>
    <row r="17" spans="5:6">
      <c r="E17" s="15">
        <v>919.14893619999998</v>
      </c>
      <c r="F17" s="15">
        <v>99.089253189999994</v>
      </c>
    </row>
    <row r="18" spans="5:6">
      <c r="E18" s="15">
        <v>979.22402999999997</v>
      </c>
      <c r="F18" s="15">
        <v>99.271402550000005</v>
      </c>
    </row>
    <row r="19" spans="5:6">
      <c r="E19" s="15">
        <v>1039.2991239999999</v>
      </c>
      <c r="F19" s="15">
        <v>99.089253189999994</v>
      </c>
    </row>
    <row r="20" spans="5:6">
      <c r="E20" s="15">
        <v>1101.3767210000001</v>
      </c>
      <c r="F20" s="15">
        <v>22.040072859999999</v>
      </c>
    </row>
    <row r="21" spans="5:6">
      <c r="E21" s="15">
        <v>1159.449312</v>
      </c>
      <c r="F21" s="15">
        <v>22.222222219999999</v>
      </c>
    </row>
    <row r="22" spans="5:6">
      <c r="E22" s="15">
        <v>1219.524406</v>
      </c>
      <c r="F22" s="15">
        <v>22.040072859999999</v>
      </c>
    </row>
    <row r="23" spans="5:6">
      <c r="E23" s="15">
        <v>1277.596996</v>
      </c>
      <c r="F23" s="15">
        <v>22.222222219999999</v>
      </c>
    </row>
    <row r="24" spans="5:6">
      <c r="E24" s="15">
        <v>1343.6795990000001</v>
      </c>
      <c r="F24" s="15">
        <v>22.222222219999999</v>
      </c>
    </row>
    <row r="25" spans="5:6">
      <c r="E25" s="15">
        <v>1397.7471840000001</v>
      </c>
      <c r="F25" s="15">
        <v>22.040072859999999</v>
      </c>
    </row>
    <row r="26" spans="5:6">
      <c r="E26" s="15">
        <v>1459.824781</v>
      </c>
      <c r="F26" s="15">
        <v>22.222222219999999</v>
      </c>
    </row>
    <row r="27" spans="5:6">
      <c r="E27" s="15">
        <v>1521.902378</v>
      </c>
      <c r="F27" s="15">
        <v>22.404371579999999</v>
      </c>
    </row>
  </sheetData>
  <pageMargins left="0" right="0" top="0" bottom="0" header="0" footer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F116"/>
  <sheetViews>
    <sheetView workbookViewId="0"/>
  </sheetViews>
  <sheetFormatPr defaultColWidth="11.25" defaultRowHeight="15" customHeight="1"/>
  <sheetData>
    <row r="1" spans="1:6">
      <c r="E1" s="16" t="s">
        <v>1</v>
      </c>
      <c r="F1" s="17"/>
    </row>
    <row r="2" spans="1:6">
      <c r="A2" s="4" t="s">
        <v>50</v>
      </c>
      <c r="E2" s="15">
        <v>718.9007881</v>
      </c>
      <c r="F2" s="15">
        <v>60.644131629999997</v>
      </c>
    </row>
    <row r="3" spans="1:6">
      <c r="E3" s="15">
        <v>805.59295039999995</v>
      </c>
      <c r="F3" s="15">
        <v>94.241910219999994</v>
      </c>
    </row>
    <row r="4" spans="1:6">
      <c r="E4" s="15">
        <v>200</v>
      </c>
      <c r="F4" s="15">
        <v>0</v>
      </c>
    </row>
    <row r="5" spans="1:6">
      <c r="E5" s="15">
        <v>230.84745760000001</v>
      </c>
      <c r="F5" s="15">
        <v>0</v>
      </c>
    </row>
    <row r="6" spans="1:6">
      <c r="E6" s="15">
        <v>261.69491529999999</v>
      </c>
      <c r="F6" s="15">
        <v>0</v>
      </c>
    </row>
    <row r="7" spans="1:6">
      <c r="E7" s="15">
        <v>290.16949149999999</v>
      </c>
      <c r="F7" s="15">
        <v>0</v>
      </c>
    </row>
    <row r="8" spans="1:6">
      <c r="E8" s="15">
        <v>321.0169492</v>
      </c>
      <c r="F8" s="15">
        <v>0</v>
      </c>
    </row>
    <row r="9" spans="1:6">
      <c r="E9" s="15">
        <v>354.2372881</v>
      </c>
      <c r="F9" s="15">
        <v>0</v>
      </c>
    </row>
    <row r="10" spans="1:6">
      <c r="E10" s="15">
        <v>380.33898310000001</v>
      </c>
      <c r="F10" s="15">
        <v>0</v>
      </c>
    </row>
    <row r="11" spans="1:6">
      <c r="E11" s="15">
        <v>411.18644069999999</v>
      </c>
      <c r="F11" s="15">
        <v>0</v>
      </c>
    </row>
    <row r="12" spans="1:6">
      <c r="E12" s="15">
        <v>439.66101689999999</v>
      </c>
      <c r="F12" s="15">
        <v>0</v>
      </c>
    </row>
    <row r="13" spans="1:6">
      <c r="E13" s="15">
        <v>470.5084746</v>
      </c>
      <c r="F13" s="15">
        <v>-0.4424778761</v>
      </c>
    </row>
    <row r="14" spans="1:6">
      <c r="E14" s="15">
        <v>501.35593219999998</v>
      </c>
      <c r="F14" s="15">
        <v>2.2123893809999999</v>
      </c>
    </row>
    <row r="15" spans="1:6">
      <c r="E15" s="15">
        <v>532.20338979999997</v>
      </c>
      <c r="F15" s="15">
        <v>5.7522123890000003</v>
      </c>
    </row>
    <row r="16" spans="1:6">
      <c r="E16" s="15">
        <v>560.67796610000005</v>
      </c>
      <c r="F16" s="15">
        <v>8.8495575219999996</v>
      </c>
    </row>
    <row r="17" spans="1:6">
      <c r="E17" s="15">
        <v>591.52542370000003</v>
      </c>
      <c r="F17" s="15">
        <v>11.504424780000001</v>
      </c>
    </row>
    <row r="18" spans="1:6">
      <c r="E18" s="15">
        <v>620</v>
      </c>
      <c r="F18" s="15">
        <v>14.15929204</v>
      </c>
    </row>
    <row r="19" spans="1:6">
      <c r="E19" s="15">
        <v>650.84745759999998</v>
      </c>
      <c r="F19" s="15">
        <v>25.221238939999999</v>
      </c>
    </row>
    <row r="20" spans="1:6">
      <c r="E20" s="15">
        <v>681.69491530000005</v>
      </c>
      <c r="F20" s="15">
        <v>35.840707960000003</v>
      </c>
    </row>
    <row r="21" spans="1:6">
      <c r="E21" s="15">
        <v>710.16949150000005</v>
      </c>
      <c r="F21" s="15">
        <v>51.327433630000002</v>
      </c>
    </row>
    <row r="22" spans="1:6">
      <c r="E22" s="15">
        <v>741.0169492</v>
      </c>
      <c r="F22" s="15">
        <v>77.433628319999997</v>
      </c>
    </row>
    <row r="23" spans="1:6">
      <c r="E23" s="15">
        <v>769.4915254</v>
      </c>
      <c r="F23" s="15">
        <v>87.610619470000003</v>
      </c>
    </row>
    <row r="24" spans="1:6">
      <c r="E24" s="15">
        <v>800.33898309999995</v>
      </c>
      <c r="F24" s="15">
        <v>97.345132739999997</v>
      </c>
    </row>
    <row r="25" spans="1:6">
      <c r="E25" s="15">
        <v>828.81355929999995</v>
      </c>
      <c r="F25" s="15">
        <v>99.115044249999997</v>
      </c>
    </row>
    <row r="26" spans="1:6">
      <c r="E26" s="15">
        <v>862.03389830000003</v>
      </c>
      <c r="F26" s="15">
        <v>99.557522120000002</v>
      </c>
    </row>
    <row r="27" spans="1:6">
      <c r="E27" s="15"/>
      <c r="F27" s="15"/>
    </row>
    <row r="28" spans="1:6">
      <c r="A28" s="4" t="s">
        <v>51</v>
      </c>
      <c r="E28" s="15">
        <v>200</v>
      </c>
      <c r="F28" s="15">
        <v>0.4424778761</v>
      </c>
    </row>
    <row r="29" spans="1:6">
      <c r="E29" s="15">
        <v>233.220339</v>
      </c>
      <c r="F29" s="15">
        <v>0</v>
      </c>
    </row>
    <row r="30" spans="1:6">
      <c r="E30" s="15">
        <v>259.32203390000001</v>
      </c>
      <c r="F30" s="15">
        <v>0</v>
      </c>
    </row>
    <row r="31" spans="1:6">
      <c r="E31" s="15">
        <v>290.16949149999999</v>
      </c>
      <c r="F31" s="15">
        <v>0</v>
      </c>
    </row>
    <row r="32" spans="1:6">
      <c r="E32" s="15">
        <v>321.0169492</v>
      </c>
      <c r="F32" s="15">
        <v>0</v>
      </c>
    </row>
    <row r="33" spans="1:6">
      <c r="E33" s="15">
        <v>349.4915254</v>
      </c>
      <c r="F33" s="15">
        <v>0</v>
      </c>
    </row>
    <row r="34" spans="1:6">
      <c r="E34" s="15">
        <v>382.71186440000002</v>
      </c>
      <c r="F34" s="15">
        <v>3.9823008849999999</v>
      </c>
    </row>
    <row r="35" spans="1:6">
      <c r="E35" s="15">
        <v>411.18644069999999</v>
      </c>
      <c r="F35" s="15">
        <v>11.504424780000001</v>
      </c>
    </row>
    <row r="36" spans="1:6">
      <c r="E36" s="15">
        <v>442.03389829999998</v>
      </c>
      <c r="F36" s="15">
        <v>19.469026549999999</v>
      </c>
    </row>
    <row r="37" spans="1:6">
      <c r="E37" s="15">
        <v>470.5084746</v>
      </c>
      <c r="F37" s="15">
        <v>37.610619470000003</v>
      </c>
    </row>
    <row r="38" spans="1:6">
      <c r="E38" s="15">
        <v>498.9830508</v>
      </c>
      <c r="F38" s="15">
        <v>58.40707965</v>
      </c>
    </row>
    <row r="39" spans="1:6">
      <c r="E39" s="15">
        <v>532.20338979999997</v>
      </c>
      <c r="F39" s="15">
        <v>82.743362829999995</v>
      </c>
    </row>
    <row r="40" spans="1:6">
      <c r="E40" s="15">
        <v>560.67796610000005</v>
      </c>
      <c r="F40" s="15">
        <v>93.805309730000005</v>
      </c>
    </row>
    <row r="41" spans="1:6">
      <c r="E41" s="15">
        <v>591.52542370000003</v>
      </c>
      <c r="F41" s="15">
        <v>98.672566369999998</v>
      </c>
    </row>
    <row r="42" spans="1:6">
      <c r="E42" s="15">
        <v>622.37288139999998</v>
      </c>
      <c r="F42" s="15">
        <v>100.4424779</v>
      </c>
    </row>
    <row r="43" spans="1:6">
      <c r="E43" s="15">
        <v>650.84745759999998</v>
      </c>
      <c r="F43" s="15">
        <v>100.4424779</v>
      </c>
    </row>
    <row r="44" spans="1:6">
      <c r="E44" s="15">
        <v>681.69491530000005</v>
      </c>
      <c r="F44" s="15">
        <v>100</v>
      </c>
    </row>
    <row r="45" spans="1:6">
      <c r="E45" s="15"/>
      <c r="F45" s="15"/>
    </row>
    <row r="46" spans="1:6">
      <c r="A46" s="4" t="s">
        <v>52</v>
      </c>
      <c r="E46" s="15">
        <v>0.4424778761</v>
      </c>
      <c r="F46" s="15">
        <v>202.37288140000001</v>
      </c>
    </row>
    <row r="47" spans="1:6">
      <c r="E47" s="15">
        <v>0</v>
      </c>
      <c r="F47" s="15">
        <v>228.4745763</v>
      </c>
    </row>
    <row r="48" spans="1:6">
      <c r="E48" s="15">
        <v>0</v>
      </c>
      <c r="F48" s="15">
        <v>261.69491529999999</v>
      </c>
    </row>
    <row r="49" spans="1:6">
      <c r="E49" s="15">
        <v>0</v>
      </c>
      <c r="F49" s="15">
        <v>292.54237289999998</v>
      </c>
    </row>
    <row r="50" spans="1:6">
      <c r="E50" s="15">
        <v>0</v>
      </c>
      <c r="F50" s="15">
        <v>323.38983050000002</v>
      </c>
    </row>
    <row r="51" spans="1:6">
      <c r="E51" s="15">
        <v>0</v>
      </c>
      <c r="F51" s="15">
        <v>349.4915254</v>
      </c>
    </row>
    <row r="52" spans="1:6">
      <c r="E52" s="15">
        <v>3.9823008849999999</v>
      </c>
      <c r="F52" s="15">
        <v>380.33898310000001</v>
      </c>
    </row>
    <row r="53" spans="1:6">
      <c r="E53" s="15">
        <v>11.504424780000001</v>
      </c>
      <c r="F53" s="15">
        <v>411.18644069999999</v>
      </c>
    </row>
    <row r="54" spans="1:6">
      <c r="E54" s="15">
        <v>19.469026549999999</v>
      </c>
      <c r="F54" s="15">
        <v>439.66101689999999</v>
      </c>
    </row>
    <row r="55" spans="1:6">
      <c r="E55" s="15">
        <v>37.610619470000003</v>
      </c>
      <c r="F55" s="15">
        <v>470.5084746</v>
      </c>
    </row>
    <row r="56" spans="1:6">
      <c r="E56" s="15">
        <v>58.40707965</v>
      </c>
      <c r="F56" s="15">
        <v>501.35593219999998</v>
      </c>
    </row>
    <row r="57" spans="1:6">
      <c r="E57" s="15">
        <v>82.743362829999995</v>
      </c>
      <c r="F57" s="15">
        <v>532.20338979999997</v>
      </c>
    </row>
    <row r="58" spans="1:6">
      <c r="E58" s="15">
        <v>93.805309730000005</v>
      </c>
      <c r="F58" s="15">
        <v>560.67796610000005</v>
      </c>
    </row>
    <row r="59" spans="1:6">
      <c r="E59" s="15">
        <v>98.672566369999998</v>
      </c>
      <c r="F59" s="15">
        <v>589.15254240000002</v>
      </c>
    </row>
    <row r="60" spans="1:6">
      <c r="E60" s="15">
        <v>100.4424779</v>
      </c>
      <c r="F60" s="15">
        <v>620</v>
      </c>
    </row>
    <row r="61" spans="1:6">
      <c r="E61" s="15">
        <v>100.4424779</v>
      </c>
      <c r="F61" s="15">
        <v>648.47457629999997</v>
      </c>
    </row>
    <row r="62" spans="1:6">
      <c r="E62" s="15">
        <v>100</v>
      </c>
      <c r="F62" s="15">
        <v>679.32203389999995</v>
      </c>
    </row>
    <row r="63" spans="1:6">
      <c r="E63" s="15"/>
      <c r="F63" s="15"/>
    </row>
    <row r="64" spans="1:6">
      <c r="A64" s="4" t="s">
        <v>53</v>
      </c>
      <c r="E64" s="15">
        <v>200</v>
      </c>
      <c r="F64" s="15">
        <v>0</v>
      </c>
    </row>
    <row r="65" spans="5:6">
      <c r="E65" s="15">
        <v>233.220339</v>
      </c>
      <c r="F65" s="15">
        <v>0</v>
      </c>
    </row>
    <row r="66" spans="5:6">
      <c r="E66" s="15">
        <v>261.69491529999999</v>
      </c>
      <c r="F66" s="15">
        <v>0</v>
      </c>
    </row>
    <row r="67" spans="5:6">
      <c r="E67" s="15">
        <v>292.54237289999998</v>
      </c>
      <c r="F67" s="15">
        <v>0</v>
      </c>
    </row>
    <row r="68" spans="5:6">
      <c r="E68" s="15">
        <v>318.64406780000002</v>
      </c>
      <c r="F68" s="15">
        <v>0</v>
      </c>
    </row>
    <row r="69" spans="5:6">
      <c r="E69" s="15">
        <v>349.4915254</v>
      </c>
      <c r="F69" s="15">
        <v>3.0973451330000001</v>
      </c>
    </row>
    <row r="70" spans="5:6">
      <c r="E70" s="15">
        <v>380.33898310000001</v>
      </c>
      <c r="F70" s="15">
        <v>7.079646018</v>
      </c>
    </row>
    <row r="71" spans="5:6">
      <c r="E71" s="15">
        <v>408.81355930000001</v>
      </c>
      <c r="F71" s="15">
        <v>13.71681416</v>
      </c>
    </row>
    <row r="72" spans="5:6">
      <c r="E72" s="15">
        <v>439.66101689999999</v>
      </c>
      <c r="F72" s="15">
        <v>28.761061949999998</v>
      </c>
    </row>
    <row r="73" spans="5:6">
      <c r="E73" s="15">
        <v>468.13559320000002</v>
      </c>
      <c r="F73" s="15">
        <v>50.884955750000003</v>
      </c>
    </row>
    <row r="74" spans="5:6">
      <c r="E74" s="15">
        <v>501.35593219999998</v>
      </c>
      <c r="F74" s="15">
        <v>76.991150439999998</v>
      </c>
    </row>
    <row r="75" spans="5:6">
      <c r="E75" s="15">
        <v>529.83050849999995</v>
      </c>
      <c r="F75" s="15">
        <v>94.690265490000002</v>
      </c>
    </row>
    <row r="76" spans="5:6">
      <c r="E76" s="15">
        <v>560.67796610000005</v>
      </c>
      <c r="F76" s="15">
        <v>99.115044249999997</v>
      </c>
    </row>
    <row r="77" spans="5:6">
      <c r="E77" s="15">
        <v>589.15254240000002</v>
      </c>
      <c r="F77" s="15">
        <v>100</v>
      </c>
    </row>
    <row r="78" spans="5:6">
      <c r="E78" s="15">
        <v>620</v>
      </c>
      <c r="F78" s="15">
        <v>100</v>
      </c>
    </row>
    <row r="79" spans="5:6">
      <c r="E79" s="15">
        <v>650.84745759999998</v>
      </c>
      <c r="F79" s="15">
        <v>100.4424779</v>
      </c>
    </row>
    <row r="80" spans="5:6">
      <c r="E80" s="15">
        <v>679.32203389999995</v>
      </c>
      <c r="F80" s="15">
        <v>100.4424779</v>
      </c>
    </row>
    <row r="81" spans="1:6">
      <c r="E81" s="15"/>
      <c r="F81" s="15"/>
    </row>
    <row r="82" spans="1:6">
      <c r="A82" s="4" t="s">
        <v>54</v>
      </c>
      <c r="E82" s="15">
        <v>202.37288140000001</v>
      </c>
      <c r="F82" s="15">
        <v>0</v>
      </c>
    </row>
    <row r="83" spans="1:6">
      <c r="E83" s="15">
        <v>230.84745760000001</v>
      </c>
      <c r="F83" s="15">
        <v>0</v>
      </c>
    </row>
    <row r="84" spans="1:6">
      <c r="E84" s="15">
        <v>261.69491529999999</v>
      </c>
      <c r="F84" s="15">
        <v>0</v>
      </c>
    </row>
    <row r="85" spans="1:6">
      <c r="E85" s="15">
        <v>292.54237289999998</v>
      </c>
      <c r="F85" s="15">
        <v>0</v>
      </c>
    </row>
    <row r="86" spans="1:6">
      <c r="E86" s="15">
        <v>321.0169492</v>
      </c>
      <c r="F86" s="15">
        <v>0.4424778761</v>
      </c>
    </row>
    <row r="87" spans="1:6">
      <c r="E87" s="15">
        <v>349.4915254</v>
      </c>
      <c r="F87" s="15">
        <v>3.0973451330000001</v>
      </c>
    </row>
    <row r="88" spans="1:6">
      <c r="E88" s="15">
        <v>380.33898310000001</v>
      </c>
      <c r="F88" s="15">
        <v>7.5221238939999999</v>
      </c>
    </row>
    <row r="89" spans="1:6">
      <c r="E89" s="15">
        <v>411.18644069999999</v>
      </c>
      <c r="F89" s="15">
        <v>16.371681420000002</v>
      </c>
    </row>
    <row r="90" spans="1:6">
      <c r="E90" s="15">
        <v>442.03389829999998</v>
      </c>
      <c r="F90" s="15">
        <v>23.451327429999999</v>
      </c>
    </row>
    <row r="91" spans="1:6">
      <c r="E91" s="15">
        <v>470.5084746</v>
      </c>
      <c r="F91" s="15">
        <v>45.575221239999998</v>
      </c>
    </row>
    <row r="92" spans="1:6">
      <c r="E92" s="15">
        <v>501.35593219999998</v>
      </c>
      <c r="F92" s="15">
        <v>65.486725660000005</v>
      </c>
    </row>
    <row r="93" spans="1:6">
      <c r="E93" s="15">
        <v>529.83050849999995</v>
      </c>
      <c r="F93" s="15">
        <v>84.070796459999997</v>
      </c>
    </row>
    <row r="94" spans="1:6">
      <c r="E94" s="15">
        <v>560.67796610000005</v>
      </c>
      <c r="F94" s="15">
        <v>94.690265490000002</v>
      </c>
    </row>
    <row r="95" spans="1:6">
      <c r="E95" s="15">
        <v>591.52542370000003</v>
      </c>
      <c r="F95" s="15">
        <v>99.115044249999997</v>
      </c>
    </row>
    <row r="96" spans="1:6">
      <c r="E96" s="15">
        <v>620</v>
      </c>
      <c r="F96" s="15">
        <v>100</v>
      </c>
    </row>
    <row r="97" spans="1:6">
      <c r="E97" s="15">
        <v>650.84745759999998</v>
      </c>
      <c r="F97" s="15">
        <v>100</v>
      </c>
    </row>
    <row r="98" spans="1:6">
      <c r="E98" s="15">
        <v>676.94915249999997</v>
      </c>
      <c r="F98" s="15">
        <v>100</v>
      </c>
    </row>
    <row r="99" spans="1:6">
      <c r="E99" s="15"/>
      <c r="F99" s="15"/>
    </row>
    <row r="100" spans="1:6">
      <c r="A100" s="4" t="s">
        <v>55</v>
      </c>
      <c r="E100" s="15">
        <v>202.37288140000001</v>
      </c>
      <c r="F100" s="15">
        <v>0</v>
      </c>
    </row>
    <row r="101" spans="1:6">
      <c r="E101" s="15">
        <v>230.84745760000001</v>
      </c>
      <c r="F101" s="15">
        <v>0.4424778761</v>
      </c>
    </row>
    <row r="102" spans="1:6">
      <c r="E102" s="15">
        <v>261.69491529999999</v>
      </c>
      <c r="F102" s="15">
        <v>0</v>
      </c>
    </row>
    <row r="103" spans="1:6">
      <c r="E103" s="15">
        <v>292.54237289999998</v>
      </c>
      <c r="F103" s="15">
        <v>0</v>
      </c>
    </row>
    <row r="104" spans="1:6">
      <c r="E104" s="15">
        <v>321.0169492</v>
      </c>
      <c r="F104" s="15">
        <v>0</v>
      </c>
    </row>
    <row r="105" spans="1:6">
      <c r="E105" s="15">
        <v>349.4915254</v>
      </c>
      <c r="F105" s="15">
        <v>2.6548672569999998</v>
      </c>
    </row>
    <row r="106" spans="1:6">
      <c r="E106" s="15">
        <v>380.33898310000001</v>
      </c>
      <c r="F106" s="15">
        <v>7.9646017699999998</v>
      </c>
    </row>
    <row r="107" spans="1:6">
      <c r="E107" s="15">
        <v>411.18644069999999</v>
      </c>
      <c r="F107" s="15">
        <v>15.486725659999999</v>
      </c>
    </row>
    <row r="108" spans="1:6">
      <c r="E108" s="15">
        <v>439.66101689999999</v>
      </c>
      <c r="F108" s="15">
        <v>28.31858407</v>
      </c>
    </row>
    <row r="109" spans="1:6">
      <c r="E109" s="15">
        <v>470.5084746</v>
      </c>
      <c r="F109" s="15">
        <v>49.557522120000002</v>
      </c>
    </row>
    <row r="110" spans="1:6">
      <c r="E110" s="15">
        <v>501.35593219999998</v>
      </c>
      <c r="F110" s="15">
        <v>69.026548669999997</v>
      </c>
    </row>
    <row r="111" spans="1:6">
      <c r="E111" s="15">
        <v>529.83050849999995</v>
      </c>
      <c r="F111" s="15">
        <v>89.380530969999995</v>
      </c>
    </row>
    <row r="112" spans="1:6">
      <c r="E112" s="15">
        <v>558.30508469999995</v>
      </c>
      <c r="F112" s="15">
        <v>96.017699120000003</v>
      </c>
    </row>
    <row r="113" spans="5:6">
      <c r="E113" s="15">
        <v>589.15254240000002</v>
      </c>
      <c r="F113" s="15">
        <v>100</v>
      </c>
    </row>
    <row r="114" spans="5:6">
      <c r="E114" s="15">
        <v>620</v>
      </c>
      <c r="F114" s="15">
        <v>100.4424779</v>
      </c>
    </row>
    <row r="115" spans="5:6">
      <c r="E115" s="15">
        <v>650.84745759999998</v>
      </c>
      <c r="F115" s="15">
        <v>100.4424779</v>
      </c>
    </row>
    <row r="116" spans="5:6">
      <c r="E116" s="15">
        <v>681.69491530000005</v>
      </c>
      <c r="F116" s="15">
        <v>100.4424779</v>
      </c>
    </row>
  </sheetData>
  <pageMargins left="0" right="0" top="0" bottom="0" header="0" footer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F51"/>
  <sheetViews>
    <sheetView workbookViewId="0"/>
  </sheetViews>
  <sheetFormatPr defaultColWidth="11.25" defaultRowHeight="15" customHeight="1"/>
  <sheetData>
    <row r="1" spans="1:6">
      <c r="E1" s="12" t="s">
        <v>1</v>
      </c>
      <c r="F1" s="13"/>
    </row>
    <row r="2" spans="1:6">
      <c r="A2" s="14" t="s">
        <v>56</v>
      </c>
      <c r="B2" s="4"/>
      <c r="E2" s="15">
        <v>213.7704918</v>
      </c>
      <c r="F2" s="15">
        <v>-0.40485829960000003</v>
      </c>
    </row>
    <row r="3" spans="1:6">
      <c r="E3" s="15">
        <v>257.37704919999999</v>
      </c>
      <c r="F3" s="15">
        <v>0</v>
      </c>
    </row>
    <row r="4" spans="1:6">
      <c r="E4" s="15">
        <v>298.68852459999999</v>
      </c>
      <c r="F4" s="15">
        <v>0</v>
      </c>
    </row>
    <row r="5" spans="1:6">
      <c r="E5" s="15">
        <v>342.29508199999998</v>
      </c>
      <c r="F5" s="15">
        <v>0</v>
      </c>
    </row>
    <row r="6" spans="1:6">
      <c r="E6" s="15">
        <v>381.31147540000001</v>
      </c>
      <c r="F6" s="15">
        <v>0</v>
      </c>
    </row>
    <row r="7" spans="1:6">
      <c r="E7" s="15">
        <v>422.62295080000001</v>
      </c>
      <c r="F7" s="15">
        <v>6.8825910930000003</v>
      </c>
    </row>
    <row r="8" spans="1:6">
      <c r="E8" s="15">
        <v>466.2295082</v>
      </c>
      <c r="F8" s="15">
        <v>17.004048579999999</v>
      </c>
    </row>
    <row r="9" spans="1:6">
      <c r="E9" s="15">
        <v>509.83606559999998</v>
      </c>
      <c r="F9" s="15">
        <v>30.364372469999999</v>
      </c>
    </row>
    <row r="10" spans="1:6">
      <c r="E10" s="15">
        <v>551.14754100000005</v>
      </c>
      <c r="F10" s="15">
        <v>50.607287450000001</v>
      </c>
    </row>
    <row r="11" spans="1:6">
      <c r="E11" s="15">
        <v>592.4590164</v>
      </c>
      <c r="F11" s="15">
        <v>76.113360319999998</v>
      </c>
    </row>
    <row r="12" spans="1:6">
      <c r="E12" s="15">
        <v>633.77049179999995</v>
      </c>
      <c r="F12" s="15">
        <v>89.068825910000001</v>
      </c>
    </row>
    <row r="13" spans="1:6">
      <c r="E13" s="15">
        <v>677.37704919999999</v>
      </c>
      <c r="F13" s="15">
        <v>97.975708499999996</v>
      </c>
    </row>
    <row r="14" spans="1:6">
      <c r="E14" s="15">
        <v>718.68852460000005</v>
      </c>
      <c r="F14" s="15">
        <v>99.190283399999998</v>
      </c>
    </row>
    <row r="15" spans="1:6">
      <c r="E15" s="15">
        <v>762.29508199999998</v>
      </c>
      <c r="F15" s="15">
        <v>100</v>
      </c>
    </row>
    <row r="16" spans="1:6">
      <c r="E16" s="15">
        <v>801.31147539999995</v>
      </c>
      <c r="F16" s="15">
        <v>100</v>
      </c>
    </row>
    <row r="17" spans="1:6">
      <c r="E17" s="15">
        <v>844.91803279999999</v>
      </c>
      <c r="F17" s="15">
        <v>100</v>
      </c>
    </row>
    <row r="18" spans="1:6">
      <c r="E18" s="15"/>
      <c r="F18" s="15"/>
    </row>
    <row r="19" spans="1:6">
      <c r="A19" s="14" t="s">
        <v>57</v>
      </c>
      <c r="E19" s="15">
        <v>213.7704918</v>
      </c>
      <c r="F19" s="15">
        <v>0.40485829960000003</v>
      </c>
    </row>
    <row r="20" spans="1:6">
      <c r="E20" s="15">
        <v>255.08196720000001</v>
      </c>
      <c r="F20" s="15">
        <v>0.40485829960000003</v>
      </c>
    </row>
    <row r="21" spans="1:6">
      <c r="E21" s="15">
        <v>298.68852459999999</v>
      </c>
      <c r="F21" s="15">
        <v>0</v>
      </c>
    </row>
    <row r="22" spans="1:6">
      <c r="E22" s="15">
        <v>340</v>
      </c>
      <c r="F22" s="15">
        <v>0.40485829960000003</v>
      </c>
    </row>
    <row r="23" spans="1:6">
      <c r="E23" s="15">
        <v>383.60655739999999</v>
      </c>
      <c r="F23" s="15">
        <v>0</v>
      </c>
    </row>
    <row r="24" spans="1:6">
      <c r="E24" s="15">
        <v>424.91803279999999</v>
      </c>
      <c r="F24" s="15">
        <v>0</v>
      </c>
    </row>
    <row r="25" spans="1:6">
      <c r="E25" s="15">
        <v>466.2295082</v>
      </c>
      <c r="F25" s="15">
        <v>6.8825910930000003</v>
      </c>
    </row>
    <row r="26" spans="1:6">
      <c r="E26" s="15">
        <v>507.5409836</v>
      </c>
      <c r="F26" s="15">
        <v>13.36032389</v>
      </c>
    </row>
    <row r="27" spans="1:6">
      <c r="E27" s="15">
        <v>548.85245899999995</v>
      </c>
      <c r="F27" s="15">
        <v>27.530364370000001</v>
      </c>
    </row>
    <row r="28" spans="1:6">
      <c r="E28" s="15">
        <v>592.4590164</v>
      </c>
      <c r="F28" s="15">
        <v>44.939271259999998</v>
      </c>
    </row>
    <row r="29" spans="1:6">
      <c r="E29" s="15">
        <v>633.77049179999995</v>
      </c>
      <c r="F29" s="15">
        <v>68.016194330000005</v>
      </c>
    </row>
    <row r="30" spans="1:6">
      <c r="E30" s="15">
        <v>677.37704919999999</v>
      </c>
      <c r="F30" s="15">
        <v>86.639676109999996</v>
      </c>
    </row>
    <row r="31" spans="1:6">
      <c r="E31" s="15">
        <v>718.68852460000005</v>
      </c>
      <c r="F31" s="15">
        <v>96.761133599999994</v>
      </c>
    </row>
    <row r="32" spans="1:6">
      <c r="E32" s="15">
        <v>762.29508199999998</v>
      </c>
      <c r="F32" s="15">
        <v>100</v>
      </c>
    </row>
    <row r="33" spans="1:6">
      <c r="E33" s="15">
        <v>801.31147539999995</v>
      </c>
      <c r="F33" s="15">
        <v>100.4048583</v>
      </c>
    </row>
    <row r="34" spans="1:6">
      <c r="E34" s="15">
        <v>844.91803279999999</v>
      </c>
      <c r="F34" s="15">
        <v>100.4048583</v>
      </c>
    </row>
    <row r="35" spans="1:6">
      <c r="E35" s="15"/>
      <c r="F35" s="15"/>
    </row>
    <row r="36" spans="1:6">
      <c r="A36" s="14" t="s">
        <v>58</v>
      </c>
      <c r="E36" s="15">
        <v>211.47540979999999</v>
      </c>
      <c r="F36" s="15">
        <v>0</v>
      </c>
    </row>
    <row r="37" spans="1:6">
      <c r="E37" s="15">
        <v>255.08196720000001</v>
      </c>
      <c r="F37" s="15">
        <v>0</v>
      </c>
    </row>
    <row r="38" spans="1:6">
      <c r="E38" s="15">
        <v>298.68852459999999</v>
      </c>
      <c r="F38" s="15">
        <v>0</v>
      </c>
    </row>
    <row r="39" spans="1:6">
      <c r="E39" s="15">
        <v>340</v>
      </c>
      <c r="F39" s="15">
        <v>0</v>
      </c>
    </row>
    <row r="40" spans="1:6">
      <c r="E40" s="15">
        <v>381.31147540000001</v>
      </c>
      <c r="F40" s="15">
        <v>1.6194331980000001</v>
      </c>
    </row>
    <row r="41" spans="1:6">
      <c r="E41" s="15">
        <v>422.62295080000001</v>
      </c>
      <c r="F41" s="15">
        <v>3.643724696</v>
      </c>
    </row>
    <row r="42" spans="1:6">
      <c r="E42" s="15">
        <v>466.2295082</v>
      </c>
      <c r="F42" s="15">
        <v>6.4777327939999996</v>
      </c>
    </row>
    <row r="43" spans="1:6">
      <c r="E43" s="15">
        <v>507.5409836</v>
      </c>
      <c r="F43" s="15">
        <v>13.765182190000001</v>
      </c>
    </row>
    <row r="44" spans="1:6">
      <c r="E44" s="15">
        <v>548.85245899999995</v>
      </c>
      <c r="F44" s="15">
        <v>26.315789469999999</v>
      </c>
    </row>
    <row r="45" spans="1:6">
      <c r="E45" s="15">
        <v>592.4590164</v>
      </c>
      <c r="F45" s="15">
        <v>44.129554659999997</v>
      </c>
    </row>
    <row r="46" spans="1:6">
      <c r="E46" s="15">
        <v>633.77049179999995</v>
      </c>
      <c r="F46" s="15">
        <v>68.825910930000006</v>
      </c>
    </row>
    <row r="47" spans="1:6">
      <c r="E47" s="15">
        <v>677.37704919999999</v>
      </c>
      <c r="F47" s="15">
        <v>83.805668019999999</v>
      </c>
    </row>
    <row r="48" spans="1:6">
      <c r="E48" s="15">
        <v>718.68852460000005</v>
      </c>
      <c r="F48" s="15">
        <v>95.546558700000006</v>
      </c>
    </row>
    <row r="49" spans="5:6">
      <c r="E49" s="15">
        <v>762.29508199999998</v>
      </c>
      <c r="F49" s="15">
        <v>100</v>
      </c>
    </row>
    <row r="50" spans="5:6">
      <c r="E50" s="15">
        <v>803.60655740000004</v>
      </c>
      <c r="F50" s="15">
        <v>100.4048583</v>
      </c>
    </row>
    <row r="51" spans="5:6">
      <c r="E51" s="15">
        <v>844.91803279999999</v>
      </c>
      <c r="F51" s="15">
        <v>100.4048583</v>
      </c>
    </row>
  </sheetData>
  <pageMargins left="0" right="0" top="0" bottom="0" header="0" footer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F54"/>
  <sheetViews>
    <sheetView workbookViewId="0"/>
  </sheetViews>
  <sheetFormatPr defaultColWidth="11.25" defaultRowHeight="15" customHeight="1"/>
  <sheetData>
    <row r="1" spans="1:6">
      <c r="E1" s="12" t="s">
        <v>1</v>
      </c>
      <c r="F1" s="13"/>
    </row>
    <row r="2" spans="1:6">
      <c r="A2" s="4" t="s">
        <v>59</v>
      </c>
      <c r="E2" s="15">
        <v>197.70491799999999</v>
      </c>
      <c r="F2" s="15">
        <v>0</v>
      </c>
    </row>
    <row r="3" spans="1:6">
      <c r="E3" s="15">
        <v>243.60655740000001</v>
      </c>
      <c r="F3" s="15">
        <v>-0.40485829960000003</v>
      </c>
    </row>
    <row r="4" spans="1:6">
      <c r="E4" s="15">
        <v>282.62295080000001</v>
      </c>
      <c r="F4" s="15">
        <v>0</v>
      </c>
    </row>
    <row r="5" spans="1:6">
      <c r="E5" s="15">
        <v>326.2295082</v>
      </c>
      <c r="F5" s="15">
        <v>0</v>
      </c>
    </row>
    <row r="6" spans="1:6">
      <c r="E6" s="15">
        <v>369.83606559999998</v>
      </c>
      <c r="F6" s="15">
        <v>0</v>
      </c>
    </row>
    <row r="7" spans="1:6">
      <c r="E7" s="15">
        <v>411.14754099999999</v>
      </c>
      <c r="F7" s="15">
        <v>6.8825910930000003</v>
      </c>
    </row>
    <row r="8" spans="1:6">
      <c r="E8" s="15">
        <v>452.4590164</v>
      </c>
      <c r="F8" s="15">
        <v>17.004048579999999</v>
      </c>
    </row>
    <row r="9" spans="1:6">
      <c r="E9" s="15">
        <v>493.7704918</v>
      </c>
      <c r="F9" s="15">
        <v>30.364372469999999</v>
      </c>
    </row>
    <row r="10" spans="1:6">
      <c r="E10" s="15">
        <v>537.37704919999999</v>
      </c>
      <c r="F10" s="15">
        <v>50.607287450000001</v>
      </c>
    </row>
    <row r="11" spans="1:6">
      <c r="E11" s="15">
        <v>578.68852460000005</v>
      </c>
      <c r="F11" s="15">
        <v>76.113360319999998</v>
      </c>
    </row>
    <row r="12" spans="1:6">
      <c r="E12" s="15">
        <v>622.29508199999998</v>
      </c>
      <c r="F12" s="15">
        <v>89.068825910000001</v>
      </c>
    </row>
    <row r="13" spans="1:6">
      <c r="E13" s="15">
        <v>663.60655740000004</v>
      </c>
      <c r="F13" s="15">
        <v>97.975708499999996</v>
      </c>
    </row>
    <row r="14" spans="1:6">
      <c r="E14" s="15">
        <v>704.91803279999999</v>
      </c>
      <c r="F14" s="15">
        <v>98.785425099999998</v>
      </c>
    </row>
    <row r="15" spans="1:6">
      <c r="E15" s="15">
        <v>746.22950820000005</v>
      </c>
      <c r="F15" s="15">
        <v>100</v>
      </c>
    </row>
    <row r="16" spans="1:6">
      <c r="E16" s="15">
        <v>789.83606559999998</v>
      </c>
      <c r="F16" s="15">
        <v>100</v>
      </c>
    </row>
    <row r="17" spans="1:6">
      <c r="E17" s="15">
        <v>831.14754100000005</v>
      </c>
      <c r="F17" s="15">
        <v>100</v>
      </c>
    </row>
    <row r="18" spans="1:6">
      <c r="E18" s="15">
        <v>872.4590164</v>
      </c>
      <c r="F18" s="15">
        <v>100</v>
      </c>
    </row>
    <row r="19" spans="1:6">
      <c r="E19" s="15"/>
      <c r="F19" s="15"/>
    </row>
    <row r="20" spans="1:6">
      <c r="A20" s="4" t="s">
        <v>60</v>
      </c>
      <c r="E20" s="15">
        <v>200</v>
      </c>
      <c r="F20" s="15">
        <v>0</v>
      </c>
    </row>
    <row r="21" spans="1:6">
      <c r="E21" s="15">
        <v>243.60655740000001</v>
      </c>
      <c r="F21" s="15">
        <v>0</v>
      </c>
    </row>
    <row r="22" spans="1:6">
      <c r="E22" s="15">
        <v>282.62295080000001</v>
      </c>
      <c r="F22" s="15">
        <v>0</v>
      </c>
    </row>
    <row r="23" spans="1:6">
      <c r="E23" s="15">
        <v>326.2295082</v>
      </c>
      <c r="F23" s="15">
        <v>0</v>
      </c>
    </row>
    <row r="24" spans="1:6">
      <c r="E24" s="15">
        <v>367.5409836</v>
      </c>
      <c r="F24" s="15">
        <v>0.40485829960000003</v>
      </c>
    </row>
    <row r="25" spans="1:6">
      <c r="E25" s="15">
        <v>411.14754099999999</v>
      </c>
      <c r="F25" s="15">
        <v>4.0485829960000004</v>
      </c>
    </row>
    <row r="26" spans="1:6">
      <c r="E26" s="15">
        <v>452.4590164</v>
      </c>
      <c r="F26" s="15">
        <v>6.4777327939999996</v>
      </c>
    </row>
    <row r="27" spans="1:6">
      <c r="E27" s="15">
        <v>496.06557379999998</v>
      </c>
      <c r="F27" s="15">
        <v>9.3117408909999995</v>
      </c>
    </row>
    <row r="28" spans="1:6">
      <c r="E28" s="15">
        <v>537.37704919999999</v>
      </c>
      <c r="F28" s="15">
        <v>21.05263158</v>
      </c>
    </row>
    <row r="29" spans="1:6">
      <c r="E29" s="15">
        <v>578.68852460000005</v>
      </c>
      <c r="F29" s="15">
        <v>34.817813770000001</v>
      </c>
    </row>
    <row r="30" spans="1:6">
      <c r="E30" s="15">
        <v>620</v>
      </c>
      <c r="F30" s="15">
        <v>65.182186229999999</v>
      </c>
    </row>
    <row r="31" spans="1:6">
      <c r="E31" s="15">
        <v>663.60655740000004</v>
      </c>
      <c r="F31" s="15">
        <v>85.829959509999995</v>
      </c>
    </row>
    <row r="32" spans="1:6">
      <c r="E32" s="15">
        <v>704.91803279999999</v>
      </c>
      <c r="F32" s="15">
        <v>95.546558700000006</v>
      </c>
    </row>
    <row r="33" spans="1:6">
      <c r="E33" s="15">
        <v>746.22950820000005</v>
      </c>
      <c r="F33" s="15">
        <v>99.595141699999999</v>
      </c>
    </row>
    <row r="34" spans="1:6">
      <c r="E34" s="15">
        <v>789.83606559999998</v>
      </c>
      <c r="F34" s="15">
        <v>100</v>
      </c>
    </row>
    <row r="35" spans="1:6">
      <c r="E35" s="15">
        <v>831.14754100000005</v>
      </c>
      <c r="F35" s="15">
        <v>100</v>
      </c>
    </row>
    <row r="36" spans="1:6">
      <c r="E36" s="15">
        <v>872.4590164</v>
      </c>
      <c r="F36" s="15">
        <v>100</v>
      </c>
    </row>
    <row r="37" spans="1:6">
      <c r="E37" s="15"/>
      <c r="F37" s="15"/>
    </row>
    <row r="38" spans="1:6">
      <c r="A38" s="4" t="s">
        <v>61</v>
      </c>
      <c r="E38" s="15">
        <v>200</v>
      </c>
      <c r="F38" s="15">
        <v>-0.40485829960000003</v>
      </c>
    </row>
    <row r="39" spans="1:6">
      <c r="E39" s="15">
        <v>243.60655740000001</v>
      </c>
      <c r="F39" s="15">
        <v>0</v>
      </c>
    </row>
    <row r="40" spans="1:6">
      <c r="E40" s="15">
        <v>284.91803279999999</v>
      </c>
      <c r="F40" s="15">
        <v>0</v>
      </c>
    </row>
    <row r="41" spans="1:6">
      <c r="E41" s="15">
        <v>326.2295082</v>
      </c>
      <c r="F41" s="15">
        <v>0</v>
      </c>
    </row>
    <row r="42" spans="1:6">
      <c r="E42" s="15">
        <v>367.5409836</v>
      </c>
      <c r="F42" s="15">
        <v>0</v>
      </c>
    </row>
    <row r="43" spans="1:6">
      <c r="E43" s="15">
        <v>411.14754099999999</v>
      </c>
      <c r="F43" s="15">
        <v>1.6194331980000001</v>
      </c>
    </row>
    <row r="44" spans="1:6">
      <c r="E44" s="15">
        <v>452.4590164</v>
      </c>
      <c r="F44" s="15">
        <v>6.4777327939999996</v>
      </c>
    </row>
    <row r="45" spans="1:6">
      <c r="E45" s="15">
        <v>496.06557379999998</v>
      </c>
      <c r="F45" s="15">
        <v>15.78947368</v>
      </c>
    </row>
    <row r="46" spans="1:6">
      <c r="E46" s="15">
        <v>539.6721311</v>
      </c>
      <c r="F46" s="15">
        <v>29.554655870000001</v>
      </c>
    </row>
    <row r="47" spans="1:6">
      <c r="E47" s="15">
        <v>578.68852460000005</v>
      </c>
      <c r="F47" s="15">
        <v>49.79757085</v>
      </c>
    </row>
    <row r="48" spans="1:6">
      <c r="E48" s="15">
        <v>620</v>
      </c>
      <c r="F48" s="15">
        <v>68.016194330000005</v>
      </c>
    </row>
    <row r="49" spans="5:6">
      <c r="E49" s="15">
        <v>663.60655740000004</v>
      </c>
      <c r="F49" s="15">
        <v>84.61538462</v>
      </c>
    </row>
    <row r="50" spans="5:6">
      <c r="E50" s="15">
        <v>707.21311479999997</v>
      </c>
      <c r="F50" s="15">
        <v>93.522267209999995</v>
      </c>
    </row>
    <row r="51" spans="5:6">
      <c r="E51" s="15">
        <v>748.52459020000003</v>
      </c>
      <c r="F51" s="15">
        <v>98.380566799999997</v>
      </c>
    </row>
    <row r="52" spans="5:6">
      <c r="E52" s="15">
        <v>789.83606559999998</v>
      </c>
      <c r="F52" s="15">
        <v>100</v>
      </c>
    </row>
    <row r="53" spans="5:6">
      <c r="E53" s="15">
        <v>831.14754100000005</v>
      </c>
      <c r="F53" s="15">
        <v>100</v>
      </c>
    </row>
    <row r="54" spans="5:6">
      <c r="E54" s="15">
        <v>874.75409839999998</v>
      </c>
      <c r="F54" s="15">
        <v>100</v>
      </c>
    </row>
  </sheetData>
  <pageMargins left="0" right="0" top="0" bottom="0" header="0" footer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F54"/>
  <sheetViews>
    <sheetView workbookViewId="0"/>
  </sheetViews>
  <sheetFormatPr defaultColWidth="11.25" defaultRowHeight="15" customHeight="1"/>
  <sheetData>
    <row r="1" spans="1:6">
      <c r="E1" s="12" t="s">
        <v>1</v>
      </c>
      <c r="F1" s="13"/>
    </row>
    <row r="2" spans="1:6">
      <c r="A2" s="4" t="s">
        <v>62</v>
      </c>
      <c r="E2" s="15">
        <v>200</v>
      </c>
      <c r="F2" s="15">
        <v>4.0485829959999997E-2</v>
      </c>
    </row>
    <row r="3" spans="1:6">
      <c r="E3" s="15">
        <v>242.5</v>
      </c>
      <c r="F3" s="15">
        <v>6.5066512430000001E-2</v>
      </c>
    </row>
    <row r="4" spans="1:6">
      <c r="E4" s="15">
        <v>285</v>
      </c>
      <c r="F4" s="15">
        <v>8.9647194910000005E-2</v>
      </c>
    </row>
    <row r="5" spans="1:6">
      <c r="E5" s="15">
        <v>327.5</v>
      </c>
      <c r="F5" s="15">
        <v>0.1142278774</v>
      </c>
    </row>
    <row r="6" spans="1:6">
      <c r="E6" s="15">
        <v>367.5</v>
      </c>
      <c r="F6" s="15">
        <v>0.13736263739999999</v>
      </c>
    </row>
    <row r="7" spans="1:6">
      <c r="E7" s="15">
        <v>412.5</v>
      </c>
      <c r="F7" s="15">
        <v>1.3779641410000001</v>
      </c>
    </row>
    <row r="8" spans="1:6">
      <c r="E8" s="15">
        <v>452.5</v>
      </c>
      <c r="F8" s="15">
        <v>3.8302486990000002</v>
      </c>
    </row>
    <row r="9" spans="1:6">
      <c r="E9" s="15">
        <v>495</v>
      </c>
      <c r="F9" s="15">
        <v>12.35685367</v>
      </c>
    </row>
    <row r="10" spans="1:6">
      <c r="E10" s="15">
        <v>537.5</v>
      </c>
      <c r="F10" s="15">
        <v>26.956333140000002</v>
      </c>
    </row>
    <row r="11" spans="1:6">
      <c r="E11" s="15">
        <v>577.5</v>
      </c>
      <c r="F11" s="15">
        <v>46.007807980000003</v>
      </c>
    </row>
    <row r="12" spans="1:6">
      <c r="E12" s="15">
        <v>620</v>
      </c>
      <c r="F12" s="15">
        <v>65.465587040000003</v>
      </c>
    </row>
    <row r="13" spans="1:6">
      <c r="E13" s="15">
        <v>662.5</v>
      </c>
      <c r="F13" s="15">
        <v>85.328224410000004</v>
      </c>
    </row>
    <row r="14" spans="1:6">
      <c r="E14" s="15">
        <v>705</v>
      </c>
      <c r="F14" s="15">
        <v>95.069404280000001</v>
      </c>
    </row>
    <row r="15" spans="1:6">
      <c r="E15" s="15">
        <v>747.5</v>
      </c>
      <c r="F15" s="15">
        <v>98.737709659999993</v>
      </c>
    </row>
    <row r="16" spans="1:6">
      <c r="E16" s="15">
        <v>790</v>
      </c>
      <c r="F16" s="15">
        <v>100.38172350000001</v>
      </c>
    </row>
    <row r="17" spans="1:6">
      <c r="E17" s="15">
        <v>830</v>
      </c>
      <c r="F17" s="15">
        <v>100.4048583</v>
      </c>
    </row>
    <row r="18" spans="1:6">
      <c r="E18" s="15">
        <v>872.5</v>
      </c>
      <c r="F18" s="15">
        <v>100.429439</v>
      </c>
    </row>
    <row r="19" spans="1:6">
      <c r="E19" s="15"/>
      <c r="F19" s="15"/>
    </row>
    <row r="20" spans="1:6">
      <c r="A20" s="4" t="s">
        <v>63</v>
      </c>
      <c r="E20" s="15">
        <v>200</v>
      </c>
      <c r="F20" s="15">
        <v>4.0485829959999997E-2</v>
      </c>
    </row>
    <row r="21" spans="1:6">
      <c r="E21" s="15">
        <v>242.5</v>
      </c>
      <c r="F21" s="15">
        <v>6.5066512430000001E-2</v>
      </c>
    </row>
    <row r="22" spans="1:6">
      <c r="E22" s="15">
        <v>285</v>
      </c>
      <c r="F22" s="15">
        <v>8.9647194910000005E-2</v>
      </c>
    </row>
    <row r="23" spans="1:6">
      <c r="E23" s="15">
        <v>325</v>
      </c>
      <c r="F23" s="15">
        <v>0.11278195489999999</v>
      </c>
    </row>
    <row r="24" spans="1:6">
      <c r="E24" s="15">
        <v>367.5</v>
      </c>
      <c r="F24" s="15">
        <v>0.13736263739999999</v>
      </c>
    </row>
    <row r="25" spans="1:6">
      <c r="E25" s="15">
        <v>410</v>
      </c>
      <c r="F25" s="15">
        <v>2.186234818</v>
      </c>
    </row>
    <row r="26" spans="1:6">
      <c r="E26" s="15">
        <v>452.5</v>
      </c>
      <c r="F26" s="15">
        <v>7.8788316949999997</v>
      </c>
    </row>
    <row r="27" spans="1:6">
      <c r="E27" s="15">
        <v>495</v>
      </c>
      <c r="F27" s="15">
        <v>15.59572007</v>
      </c>
    </row>
    <row r="28" spans="1:6">
      <c r="E28" s="15">
        <v>535</v>
      </c>
      <c r="F28" s="15">
        <v>28.574320419999999</v>
      </c>
    </row>
    <row r="29" spans="1:6">
      <c r="E29" s="15">
        <v>577.5</v>
      </c>
      <c r="F29" s="15">
        <v>49.651532680000003</v>
      </c>
    </row>
    <row r="30" spans="1:6">
      <c r="E30" s="15">
        <v>620</v>
      </c>
      <c r="F30" s="15">
        <v>69.514170039999996</v>
      </c>
    </row>
    <row r="31" spans="1:6">
      <c r="E31" s="15">
        <v>662.5</v>
      </c>
      <c r="F31" s="15">
        <v>89.376807400000004</v>
      </c>
    </row>
    <row r="32" spans="1:6">
      <c r="E32" s="15">
        <v>705</v>
      </c>
      <c r="F32" s="15">
        <v>96.688837480000004</v>
      </c>
    </row>
    <row r="33" spans="1:6">
      <c r="E33" s="15">
        <v>747.5</v>
      </c>
      <c r="F33" s="15">
        <v>100.3571429</v>
      </c>
    </row>
    <row r="34" spans="1:6">
      <c r="E34" s="15">
        <v>790</v>
      </c>
      <c r="F34" s="15">
        <v>100.38172350000001</v>
      </c>
    </row>
    <row r="35" spans="1:6">
      <c r="E35" s="15">
        <v>832.5</v>
      </c>
      <c r="F35" s="15">
        <v>100.40630419999999</v>
      </c>
    </row>
    <row r="36" spans="1:6">
      <c r="E36" s="15">
        <v>872.5</v>
      </c>
      <c r="F36" s="15">
        <v>100.0245807</v>
      </c>
    </row>
    <row r="37" spans="1:6">
      <c r="E37" s="15"/>
      <c r="F37" s="15"/>
    </row>
    <row r="38" spans="1:6">
      <c r="A38" s="4" t="s">
        <v>64</v>
      </c>
      <c r="E38" s="15">
        <v>200</v>
      </c>
      <c r="F38" s="15">
        <v>4.0485829959999997E-2</v>
      </c>
    </row>
    <row r="39" spans="1:6">
      <c r="E39" s="15">
        <v>242.5</v>
      </c>
      <c r="F39" s="15">
        <v>-0.33979178719999997</v>
      </c>
    </row>
    <row r="40" spans="1:6">
      <c r="E40" s="15">
        <v>282.5</v>
      </c>
      <c r="F40" s="15">
        <v>-0.3166570272</v>
      </c>
    </row>
    <row r="41" spans="1:6">
      <c r="E41" s="15">
        <v>325</v>
      </c>
      <c r="F41" s="15">
        <v>0.11278195489999999</v>
      </c>
    </row>
    <row r="42" spans="1:6">
      <c r="E42" s="15">
        <v>367.5</v>
      </c>
      <c r="F42" s="15">
        <v>0.13736263739999999</v>
      </c>
    </row>
    <row r="43" spans="1:6">
      <c r="E43" s="15">
        <v>410</v>
      </c>
      <c r="F43" s="15">
        <v>3.400809717</v>
      </c>
    </row>
    <row r="44" spans="1:6">
      <c r="E44" s="15">
        <v>452.5</v>
      </c>
      <c r="F44" s="15">
        <v>5.8545401970000004</v>
      </c>
    </row>
    <row r="45" spans="1:6">
      <c r="E45" s="15">
        <v>495</v>
      </c>
      <c r="F45" s="15">
        <v>9.5228455749999998</v>
      </c>
    </row>
    <row r="46" spans="1:6">
      <c r="E46" s="15">
        <v>537.5</v>
      </c>
      <c r="F46" s="15">
        <v>19.668883749999999</v>
      </c>
    </row>
    <row r="47" spans="1:6">
      <c r="E47" s="15">
        <v>577.5</v>
      </c>
      <c r="F47" s="15">
        <v>38.720358589999996</v>
      </c>
    </row>
    <row r="48" spans="1:6">
      <c r="E48" s="15">
        <v>620</v>
      </c>
      <c r="F48" s="15">
        <v>62.631578949999998</v>
      </c>
    </row>
    <row r="49" spans="5:6">
      <c r="E49" s="15">
        <v>660</v>
      </c>
      <c r="F49" s="15">
        <v>84.921920189999994</v>
      </c>
    </row>
    <row r="50" spans="5:6">
      <c r="E50" s="15">
        <v>702.5</v>
      </c>
      <c r="F50" s="15">
        <v>95.472816660000007</v>
      </c>
    </row>
    <row r="51" spans="5:6">
      <c r="E51" s="15">
        <v>747.5</v>
      </c>
      <c r="F51" s="15">
        <v>100.3571429</v>
      </c>
    </row>
    <row r="52" spans="5:6">
      <c r="E52" s="15">
        <v>787.5</v>
      </c>
      <c r="F52" s="15">
        <v>100.3802776</v>
      </c>
    </row>
    <row r="53" spans="5:6">
      <c r="E53" s="15">
        <v>832.5</v>
      </c>
      <c r="F53" s="15">
        <v>100.40630419999999</v>
      </c>
    </row>
    <row r="54" spans="5:6">
      <c r="E54" s="15">
        <v>872.5</v>
      </c>
      <c r="F54" s="15">
        <v>100.429439</v>
      </c>
    </row>
  </sheetData>
  <pageMargins left="0" right="0" top="0" bottom="0" header="0" footer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F39"/>
  <sheetViews>
    <sheetView workbookViewId="0"/>
  </sheetViews>
  <sheetFormatPr defaultColWidth="11.25" defaultRowHeight="15" customHeight="1"/>
  <sheetData>
    <row r="1" spans="1:6">
      <c r="E1" s="12" t="s">
        <v>1</v>
      </c>
      <c r="F1" s="13"/>
    </row>
    <row r="2" spans="1:6">
      <c r="A2" s="4" t="s">
        <v>65</v>
      </c>
      <c r="E2" s="15">
        <v>350.42134829999998</v>
      </c>
      <c r="F2" s="15">
        <v>6.9444444440000002</v>
      </c>
    </row>
    <row r="3" spans="1:6">
      <c r="E3" s="15">
        <v>400.14044940000002</v>
      </c>
      <c r="F3" s="15">
        <v>9.5486111109999996</v>
      </c>
    </row>
    <row r="4" spans="1:6">
      <c r="E4" s="15">
        <v>450.70224719999999</v>
      </c>
      <c r="F4" s="15">
        <v>18.75</v>
      </c>
    </row>
    <row r="5" spans="1:6">
      <c r="E5" s="15">
        <v>500.84269660000001</v>
      </c>
      <c r="F5" s="15">
        <v>37.673611110000003</v>
      </c>
    </row>
    <row r="6" spans="1:6">
      <c r="E6" s="15">
        <v>550.9831461</v>
      </c>
      <c r="F6" s="15">
        <v>64.236111109999996</v>
      </c>
    </row>
    <row r="7" spans="1:6">
      <c r="E7" s="15">
        <v>601.54494380000006</v>
      </c>
      <c r="F7" s="15">
        <v>89.0625</v>
      </c>
    </row>
    <row r="8" spans="1:6">
      <c r="E8" s="15">
        <v>650</v>
      </c>
      <c r="F8" s="15">
        <v>100</v>
      </c>
    </row>
    <row r="9" spans="1:6">
      <c r="E9" s="15"/>
      <c r="F9" s="15"/>
    </row>
    <row r="10" spans="1:6">
      <c r="A10" s="4" t="s">
        <v>66</v>
      </c>
      <c r="E10" s="15">
        <v>350</v>
      </c>
      <c r="F10" s="15">
        <v>9.7222222219999992</v>
      </c>
    </row>
    <row r="11" spans="1:6">
      <c r="E11" s="15">
        <v>400.56179780000002</v>
      </c>
      <c r="F11" s="15">
        <v>11.97916667</v>
      </c>
    </row>
    <row r="12" spans="1:6">
      <c r="E12" s="15">
        <v>450.70224719999999</v>
      </c>
      <c r="F12" s="15">
        <v>21.354166670000001</v>
      </c>
    </row>
    <row r="13" spans="1:6">
      <c r="E13" s="15">
        <v>500.84269660000001</v>
      </c>
      <c r="F13" s="15">
        <v>42.881944439999998</v>
      </c>
    </row>
    <row r="14" spans="1:6">
      <c r="E14" s="15">
        <v>550.9831461</v>
      </c>
      <c r="F14" s="15">
        <v>71.006944439999998</v>
      </c>
    </row>
    <row r="15" spans="1:6">
      <c r="E15" s="15">
        <v>601.54494380000006</v>
      </c>
      <c r="F15" s="15">
        <v>93.75</v>
      </c>
    </row>
    <row r="16" spans="1:6">
      <c r="E16" s="15">
        <v>650</v>
      </c>
      <c r="F16" s="15">
        <v>99.826388890000004</v>
      </c>
    </row>
    <row r="17" spans="1:6">
      <c r="E17" s="15"/>
      <c r="F17" s="15"/>
    </row>
    <row r="18" spans="1:6">
      <c r="A18" s="4" t="s">
        <v>67</v>
      </c>
      <c r="E18" s="15">
        <v>350</v>
      </c>
      <c r="F18" s="15">
        <v>11.45833333</v>
      </c>
    </row>
    <row r="19" spans="1:6">
      <c r="E19" s="15">
        <v>400.56179780000002</v>
      </c>
      <c r="F19" s="15">
        <v>13.54166667</v>
      </c>
    </row>
    <row r="20" spans="1:6">
      <c r="E20" s="15">
        <v>449.85955059999998</v>
      </c>
      <c r="F20" s="15">
        <v>23.784722219999999</v>
      </c>
    </row>
    <row r="21" spans="1:6">
      <c r="E21" s="15">
        <v>500</v>
      </c>
      <c r="F21" s="15">
        <v>45.833333330000002</v>
      </c>
    </row>
    <row r="22" spans="1:6">
      <c r="E22" s="15">
        <v>550.9831461</v>
      </c>
      <c r="F22" s="15">
        <v>76.5625</v>
      </c>
    </row>
    <row r="23" spans="1:6">
      <c r="E23" s="15">
        <v>600.28089890000001</v>
      </c>
      <c r="F23" s="15">
        <v>96.701388890000004</v>
      </c>
    </row>
    <row r="24" spans="1:6">
      <c r="E24" s="15"/>
      <c r="F24" s="15"/>
    </row>
    <row r="25" spans="1:6">
      <c r="A25" s="14" t="s">
        <v>68</v>
      </c>
      <c r="E25" s="15">
        <v>350</v>
      </c>
      <c r="F25" s="15">
        <v>8.8541666669999994</v>
      </c>
    </row>
    <row r="26" spans="1:6">
      <c r="E26" s="15">
        <v>400.56179780000002</v>
      </c>
      <c r="F26" s="15">
        <v>11.11111111</v>
      </c>
    </row>
    <row r="27" spans="1:6">
      <c r="E27" s="15">
        <v>450.28089890000001</v>
      </c>
      <c r="F27" s="15">
        <v>22.916666670000001</v>
      </c>
    </row>
    <row r="28" spans="1:6">
      <c r="E28" s="15">
        <v>500.84269660000001</v>
      </c>
      <c r="F28" s="15">
        <v>44.618055560000002</v>
      </c>
    </row>
    <row r="29" spans="1:6">
      <c r="E29" s="15">
        <v>550.56179780000002</v>
      </c>
      <c r="F29" s="15">
        <v>72.048611109999996</v>
      </c>
    </row>
    <row r="30" spans="1:6">
      <c r="E30" s="15">
        <v>601.12359549999996</v>
      </c>
      <c r="F30" s="15">
        <v>93.923611109999996</v>
      </c>
    </row>
    <row r="31" spans="1:6">
      <c r="E31" s="15">
        <v>650</v>
      </c>
      <c r="F31" s="15">
        <v>99.826388890000004</v>
      </c>
    </row>
    <row r="32" spans="1:6">
      <c r="E32" s="15"/>
      <c r="F32" s="15"/>
    </row>
    <row r="33" spans="1:6">
      <c r="A33" s="4" t="s">
        <v>69</v>
      </c>
      <c r="E33" s="15">
        <v>350</v>
      </c>
      <c r="F33" s="15">
        <v>10.06944444</v>
      </c>
    </row>
    <row r="34" spans="1:6">
      <c r="E34" s="15">
        <v>400.14044940000002</v>
      </c>
      <c r="F34" s="15">
        <v>11.63194444</v>
      </c>
    </row>
    <row r="35" spans="1:6">
      <c r="E35" s="15">
        <v>450.70224719999999</v>
      </c>
      <c r="F35" s="15">
        <v>20.833333329999999</v>
      </c>
    </row>
    <row r="36" spans="1:6">
      <c r="E36" s="15">
        <v>500.84269660000001</v>
      </c>
      <c r="F36" s="15">
        <v>41.840277780000001</v>
      </c>
    </row>
    <row r="37" spans="1:6">
      <c r="E37" s="15">
        <v>551.40449439999998</v>
      </c>
      <c r="F37" s="15">
        <v>69.791666669999998</v>
      </c>
    </row>
    <row r="38" spans="1:6">
      <c r="E38" s="15">
        <v>601.12359549999996</v>
      </c>
      <c r="F38" s="15">
        <v>92.361111109999996</v>
      </c>
    </row>
    <row r="39" spans="1:6">
      <c r="E39" s="15">
        <v>650.42134829999998</v>
      </c>
      <c r="F39" s="15">
        <v>99.826388890000004</v>
      </c>
    </row>
  </sheetData>
  <pageMargins left="0" right="0" top="0" bottom="0" header="0" footer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"/>
  <sheetViews>
    <sheetView workbookViewId="0"/>
  </sheetViews>
  <sheetFormatPr defaultColWidth="11.25" defaultRowHeight="15" customHeight="1"/>
  <sheetData/>
  <pageMargins left="0" right="0" top="0" bottom="0" header="0" footer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D13"/>
  <sheetViews>
    <sheetView workbookViewId="0"/>
  </sheetViews>
  <sheetFormatPr defaultColWidth="11.25" defaultRowHeight="15" customHeight="1"/>
  <sheetData>
    <row r="1" spans="1:4">
      <c r="D1" s="12" t="s">
        <v>1</v>
      </c>
    </row>
    <row r="2" spans="1:4">
      <c r="A2" s="4" t="s">
        <v>34</v>
      </c>
      <c r="D2" s="15">
        <v>36.685082870000002</v>
      </c>
    </row>
    <row r="3" spans="1:4">
      <c r="A3" s="4" t="s">
        <v>70</v>
      </c>
      <c r="D3" s="15">
        <v>43.425414359999998</v>
      </c>
    </row>
    <row r="4" spans="1:4">
      <c r="A4" s="4" t="s">
        <v>71</v>
      </c>
      <c r="D4" s="15">
        <v>48.342541439999998</v>
      </c>
    </row>
    <row r="5" spans="1:4">
      <c r="A5" s="4" t="s">
        <v>72</v>
      </c>
      <c r="D5" s="15">
        <v>41.546961330000002</v>
      </c>
    </row>
    <row r="6" spans="1:4">
      <c r="A6" s="4" t="s">
        <v>73</v>
      </c>
      <c r="D6" s="15">
        <v>40.331491710000002</v>
      </c>
    </row>
    <row r="7" spans="1:4">
      <c r="A7" s="4" t="s">
        <v>71</v>
      </c>
      <c r="D7" s="15">
        <v>48.342541439999998</v>
      </c>
    </row>
    <row r="8" spans="1:4">
      <c r="A8" s="4" t="s">
        <v>34</v>
      </c>
      <c r="D8" s="15">
        <v>36.740331490000003</v>
      </c>
    </row>
    <row r="9" spans="1:4">
      <c r="A9" s="4" t="s">
        <v>74</v>
      </c>
      <c r="D9" s="15">
        <v>59.613259669999998</v>
      </c>
    </row>
    <row r="10" spans="1:4">
      <c r="A10" s="4" t="s">
        <v>75</v>
      </c>
      <c r="D10" s="15">
        <v>35.193370170000001</v>
      </c>
    </row>
    <row r="11" spans="1:4">
      <c r="A11" s="4" t="s">
        <v>72</v>
      </c>
      <c r="D11" s="15">
        <v>41.546961330000002</v>
      </c>
    </row>
    <row r="12" spans="1:4">
      <c r="A12" s="4" t="s">
        <v>76</v>
      </c>
      <c r="D12" s="15">
        <v>35.469613260000003</v>
      </c>
    </row>
    <row r="13" spans="1:4">
      <c r="A13" s="4" t="s">
        <v>75</v>
      </c>
      <c r="D13" s="15">
        <v>35.193370170000001</v>
      </c>
    </row>
  </sheetData>
  <pageMargins left="0" right="0" top="0" bottom="0" header="0" footer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F48"/>
  <sheetViews>
    <sheetView workbookViewId="0"/>
  </sheetViews>
  <sheetFormatPr defaultColWidth="11.25" defaultRowHeight="15" customHeight="1"/>
  <sheetData>
    <row r="1" spans="1:6">
      <c r="E1" s="12" t="s">
        <v>1</v>
      </c>
      <c r="F1" s="13"/>
    </row>
    <row r="2" spans="1:6">
      <c r="A2" s="4" t="s">
        <v>34</v>
      </c>
      <c r="E2" s="15">
        <v>420.45718260000001</v>
      </c>
      <c r="F2" s="15">
        <v>3.777335984</v>
      </c>
    </row>
    <row r="3" spans="1:6">
      <c r="E3" s="15">
        <v>460.06488949999999</v>
      </c>
      <c r="F3" s="15">
        <v>9.7415506959999991</v>
      </c>
    </row>
    <row r="4" spans="1:6">
      <c r="E4" s="15">
        <v>515.3203456</v>
      </c>
      <c r="F4" s="15">
        <v>28.031809150000001</v>
      </c>
    </row>
    <row r="5" spans="1:6">
      <c r="E5" s="15">
        <v>560.30194300000005</v>
      </c>
      <c r="F5" s="15">
        <v>61.431411529999998</v>
      </c>
    </row>
    <row r="6" spans="1:6">
      <c r="E6" s="15">
        <v>600.53600329999995</v>
      </c>
      <c r="F6" s="15">
        <v>92.047713720000004</v>
      </c>
    </row>
    <row r="7" spans="1:6">
      <c r="E7" s="15"/>
      <c r="F7" s="15"/>
    </row>
    <row r="8" spans="1:6">
      <c r="A8" s="14" t="s">
        <v>71</v>
      </c>
      <c r="E8" s="15">
        <v>419.91175620000001</v>
      </c>
      <c r="F8" s="15">
        <v>8.1510934390000003</v>
      </c>
    </row>
    <row r="9" spans="1:6">
      <c r="E9" s="15">
        <v>460.36864320000001</v>
      </c>
      <c r="F9" s="15">
        <v>18.687872760000001</v>
      </c>
    </row>
    <row r="10" spans="1:6">
      <c r="E10" s="15">
        <v>515.3491689</v>
      </c>
      <c r="F10" s="15">
        <v>38.36978131</v>
      </c>
    </row>
    <row r="11" spans="1:6">
      <c r="E11" s="15">
        <v>560.31746329999999</v>
      </c>
      <c r="F11" s="15">
        <v>66.998011930000004</v>
      </c>
    </row>
    <row r="12" spans="1:6">
      <c r="E12" s="15">
        <v>600.27991899999995</v>
      </c>
      <c r="F12" s="15">
        <v>100.1988072</v>
      </c>
    </row>
    <row r="13" spans="1:6">
      <c r="E13" s="15"/>
      <c r="F13" s="15"/>
    </row>
    <row r="14" spans="1:6">
      <c r="A14" s="14" t="s">
        <v>75</v>
      </c>
      <c r="E14" s="15">
        <v>420.189458</v>
      </c>
      <c r="F14" s="15">
        <v>7.7534791250000001</v>
      </c>
    </row>
    <row r="15" spans="1:6">
      <c r="E15" s="15">
        <v>460.08428980000002</v>
      </c>
      <c r="F15" s="15">
        <v>16.699801189999999</v>
      </c>
    </row>
    <row r="16" spans="1:6">
      <c r="E16" s="15">
        <v>514.77381070000001</v>
      </c>
      <c r="F16" s="15">
        <v>32.007952289999999</v>
      </c>
    </row>
    <row r="17" spans="1:6">
      <c r="E17" s="15">
        <v>560.00594939999996</v>
      </c>
      <c r="F17" s="15">
        <v>55.268389659999997</v>
      </c>
    </row>
    <row r="18" spans="1:6">
      <c r="E18" s="15">
        <v>600.24555269999996</v>
      </c>
      <c r="F18" s="15">
        <v>87.872763419999998</v>
      </c>
    </row>
    <row r="19" spans="1:6">
      <c r="E19" s="15"/>
      <c r="F19" s="15"/>
    </row>
    <row r="20" spans="1:6">
      <c r="A20" s="14" t="s">
        <v>77</v>
      </c>
      <c r="E20" s="15">
        <v>420.18003499999998</v>
      </c>
      <c r="F20" s="15">
        <v>4.3737574549999998</v>
      </c>
    </row>
    <row r="21" spans="1:6">
      <c r="E21" s="15">
        <v>460.35589440000001</v>
      </c>
      <c r="F21" s="15">
        <v>14.115308150000001</v>
      </c>
    </row>
    <row r="22" spans="1:6">
      <c r="E22" s="15">
        <v>515.34695169999998</v>
      </c>
      <c r="F22" s="15">
        <v>37.574552679999996</v>
      </c>
    </row>
    <row r="23" spans="1:6">
      <c r="E23" s="15">
        <v>560.33076630000005</v>
      </c>
      <c r="F23" s="15">
        <v>71.769383700000006</v>
      </c>
    </row>
    <row r="24" spans="1:6">
      <c r="E24" s="15">
        <v>585.21972259999995</v>
      </c>
      <c r="F24" s="15">
        <v>98.608349899999993</v>
      </c>
    </row>
    <row r="25" spans="1:6">
      <c r="E25" s="15"/>
      <c r="F25" s="15"/>
    </row>
    <row r="26" spans="1:6">
      <c r="A26" s="4" t="s">
        <v>70</v>
      </c>
      <c r="E26" s="15">
        <v>419.91563630000002</v>
      </c>
      <c r="F26" s="15">
        <v>9.5427435389999999</v>
      </c>
    </row>
    <row r="27" spans="1:6">
      <c r="E27" s="15">
        <v>460.09648429999999</v>
      </c>
      <c r="F27" s="15">
        <v>21.073558649999999</v>
      </c>
    </row>
    <row r="28" spans="1:6">
      <c r="E28" s="15">
        <v>515.36025480000001</v>
      </c>
      <c r="F28" s="15">
        <v>42.345924449999998</v>
      </c>
    </row>
    <row r="29" spans="1:6">
      <c r="E29" s="15">
        <v>560.33409210000002</v>
      </c>
      <c r="F29" s="15">
        <v>72.962226639999997</v>
      </c>
    </row>
    <row r="30" spans="1:6">
      <c r="E30" s="15">
        <v>584.94479220000005</v>
      </c>
      <c r="F30" s="15">
        <v>100</v>
      </c>
    </row>
    <row r="31" spans="1:6">
      <c r="E31" s="15"/>
      <c r="F31" s="15"/>
    </row>
    <row r="32" spans="1:6">
      <c r="A32" s="4" t="s">
        <v>73</v>
      </c>
      <c r="E32" s="15">
        <v>420.46161690000002</v>
      </c>
      <c r="F32" s="15">
        <v>5.3677932410000002</v>
      </c>
    </row>
    <row r="33" spans="1:6">
      <c r="E33" s="15">
        <v>460.63082470000001</v>
      </c>
      <c r="F33" s="15">
        <v>12.723658049999999</v>
      </c>
    </row>
    <row r="34" spans="1:6">
      <c r="E34" s="15">
        <v>515.60525319999999</v>
      </c>
      <c r="F34" s="15">
        <v>30.21868787</v>
      </c>
    </row>
    <row r="35" spans="1:6">
      <c r="E35" s="15">
        <v>560.85235799999998</v>
      </c>
      <c r="F35" s="15">
        <v>58.84691849</v>
      </c>
    </row>
    <row r="36" spans="1:6">
      <c r="E36" s="15">
        <v>600.54986069999995</v>
      </c>
      <c r="F36" s="15">
        <v>97.017892639999999</v>
      </c>
    </row>
    <row r="37" spans="1:6">
      <c r="E37" s="15"/>
      <c r="F37" s="15"/>
    </row>
    <row r="38" spans="1:6">
      <c r="A38" s="4" t="s">
        <v>74</v>
      </c>
      <c r="E38" s="15">
        <v>419.90565900000001</v>
      </c>
      <c r="F38" s="15">
        <v>5.9642147120000004</v>
      </c>
    </row>
    <row r="39" spans="1:6">
      <c r="E39" s="15">
        <v>460.35367719999999</v>
      </c>
      <c r="F39" s="15">
        <v>13.32007952</v>
      </c>
    </row>
    <row r="40" spans="1:6">
      <c r="E40" s="15">
        <v>515.31923700000004</v>
      </c>
      <c r="F40" s="15">
        <v>27.634194829999998</v>
      </c>
    </row>
    <row r="41" spans="1:6">
      <c r="E41" s="15">
        <v>560.27256539999996</v>
      </c>
      <c r="F41" s="15">
        <v>50.894632209999997</v>
      </c>
    </row>
    <row r="42" spans="1:6">
      <c r="E42" s="15">
        <v>600.23446679999995</v>
      </c>
      <c r="F42" s="15">
        <v>83.896620279999993</v>
      </c>
    </row>
    <row r="43" spans="1:6">
      <c r="E43" s="15"/>
      <c r="F43" s="15"/>
    </row>
    <row r="44" spans="1:6">
      <c r="A44" s="4" t="s">
        <v>76</v>
      </c>
      <c r="E44" s="15">
        <v>420.18557800000002</v>
      </c>
      <c r="F44" s="15">
        <v>6.3618290259999997</v>
      </c>
    </row>
    <row r="45" spans="1:6">
      <c r="E45" s="15">
        <v>460.35534009999998</v>
      </c>
      <c r="F45" s="15">
        <v>13.916500989999999</v>
      </c>
    </row>
    <row r="46" spans="1:6">
      <c r="E46" s="15">
        <v>515.04818669999997</v>
      </c>
      <c r="F46" s="15">
        <v>30.417495030000001</v>
      </c>
    </row>
    <row r="47" spans="1:6">
      <c r="E47" s="15">
        <v>560.29418290000001</v>
      </c>
      <c r="F47" s="15">
        <v>58.648111329999999</v>
      </c>
    </row>
    <row r="48" spans="1:6">
      <c r="E48" s="15">
        <v>600.2760389</v>
      </c>
      <c r="F48" s="15">
        <v>98.807157059999994</v>
      </c>
    </row>
  </sheetData>
  <pageMargins left="0" right="0" top="0" bottom="0" header="0" footer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F35"/>
  <sheetViews>
    <sheetView workbookViewId="0"/>
  </sheetViews>
  <sheetFormatPr defaultColWidth="11.25" defaultRowHeight="15" customHeight="1"/>
  <sheetData>
    <row r="1" spans="1:6">
      <c r="E1" s="12" t="s">
        <v>1</v>
      </c>
      <c r="F1" s="13"/>
    </row>
    <row r="2" spans="1:6">
      <c r="A2" s="4" t="s">
        <v>78</v>
      </c>
      <c r="E2" s="15">
        <v>459.78755690000003</v>
      </c>
      <c r="F2" s="15">
        <v>10.053567839999999</v>
      </c>
    </row>
    <row r="3" spans="1:6">
      <c r="E3" s="15">
        <v>515.09863429999996</v>
      </c>
      <c r="F3" s="15">
        <v>28.199901270000002</v>
      </c>
    </row>
    <row r="4" spans="1:6">
      <c r="E4" s="15">
        <v>559.939302</v>
      </c>
      <c r="F4" s="15">
        <v>61.593262279999998</v>
      </c>
    </row>
    <row r="5" spans="1:6">
      <c r="E5" s="15">
        <v>600</v>
      </c>
      <c r="F5" s="15">
        <v>92.168979410000006</v>
      </c>
    </row>
    <row r="6" spans="1:6">
      <c r="E6" s="15"/>
      <c r="F6" s="15"/>
    </row>
    <row r="7" spans="1:6">
      <c r="A7" s="4" t="s">
        <v>79</v>
      </c>
      <c r="E7" s="15">
        <v>459.78755690000003</v>
      </c>
      <c r="F7" s="15">
        <v>16.077664219999999</v>
      </c>
    </row>
    <row r="8" spans="1:6">
      <c r="E8" s="15">
        <v>514.87101670000004</v>
      </c>
      <c r="F8" s="15">
        <v>36.03092187</v>
      </c>
    </row>
    <row r="9" spans="1:6">
      <c r="E9" s="15">
        <v>559.71168439999997</v>
      </c>
      <c r="F9" s="15">
        <v>63.400186480000002</v>
      </c>
    </row>
    <row r="10" spans="1:6">
      <c r="E10" s="15">
        <v>585.20485580000002</v>
      </c>
      <c r="F10" s="15">
        <v>82.510619109999993</v>
      </c>
    </row>
    <row r="11" spans="1:6">
      <c r="E11" s="15"/>
      <c r="F11" s="15"/>
    </row>
    <row r="12" spans="1:6">
      <c r="A12" s="4" t="s">
        <v>80</v>
      </c>
      <c r="E12" s="15">
        <v>459.5599393</v>
      </c>
      <c r="F12" s="15">
        <v>18.888604489999999</v>
      </c>
    </row>
    <row r="13" spans="1:6">
      <c r="E13" s="15">
        <v>515.32625189999999</v>
      </c>
      <c r="F13" s="15">
        <v>40.24839875</v>
      </c>
    </row>
    <row r="14" spans="1:6">
      <c r="E14" s="15">
        <v>559.939302</v>
      </c>
      <c r="F14" s="15">
        <v>70.629406849999995</v>
      </c>
    </row>
    <row r="15" spans="1:6">
      <c r="E15" s="15">
        <v>584.74962059999996</v>
      </c>
      <c r="F15" s="15">
        <v>96.767037799999997</v>
      </c>
    </row>
    <row r="16" spans="1:6">
      <c r="E16" s="15"/>
      <c r="F16" s="15"/>
    </row>
    <row r="17" spans="1:6">
      <c r="A17" s="4" t="s">
        <v>81</v>
      </c>
      <c r="E17" s="15">
        <v>460.0151745</v>
      </c>
      <c r="F17" s="15">
        <v>21.70045889</v>
      </c>
    </row>
    <row r="18" spans="1:6">
      <c r="E18" s="15">
        <v>514.87101670000004</v>
      </c>
      <c r="F18" s="15">
        <v>42.858231099999998</v>
      </c>
    </row>
    <row r="19" spans="1:6">
      <c r="E19" s="15">
        <v>559.71168439999997</v>
      </c>
      <c r="F19" s="15">
        <v>73.440347119999998</v>
      </c>
    </row>
    <row r="20" spans="1:6">
      <c r="E20" s="15">
        <v>584.97723819999999</v>
      </c>
      <c r="F20" s="15">
        <v>100.38180029999999</v>
      </c>
    </row>
    <row r="21" spans="1:6">
      <c r="E21" s="15"/>
      <c r="F21" s="15"/>
    </row>
    <row r="22" spans="1:6">
      <c r="A22" s="4" t="s">
        <v>82</v>
      </c>
      <c r="E22" s="15">
        <v>459.78755690000003</v>
      </c>
      <c r="F22" s="15">
        <v>19.290515630000002</v>
      </c>
    </row>
    <row r="23" spans="1:6">
      <c r="E23" s="15">
        <v>514.87101670000004</v>
      </c>
      <c r="F23" s="15">
        <v>41.251805400000002</v>
      </c>
    </row>
    <row r="24" spans="1:6">
      <c r="E24" s="15">
        <v>560.16691960000003</v>
      </c>
      <c r="F24" s="15">
        <v>72.838546899999997</v>
      </c>
    </row>
    <row r="25" spans="1:6">
      <c r="E25" s="15">
        <v>584.97723819999999</v>
      </c>
      <c r="F25" s="15">
        <v>98.574571430000006</v>
      </c>
    </row>
    <row r="26" spans="1:6">
      <c r="E26" s="15"/>
      <c r="F26" s="15"/>
    </row>
    <row r="27" spans="1:6">
      <c r="A27" s="4" t="s">
        <v>83</v>
      </c>
      <c r="E27" s="15">
        <v>460.24279209999997</v>
      </c>
      <c r="F27" s="15">
        <v>18.287108979999999</v>
      </c>
    </row>
    <row r="28" spans="1:6">
      <c r="E28" s="15">
        <v>514.87101670000004</v>
      </c>
      <c r="F28" s="15">
        <v>40.247789339999997</v>
      </c>
    </row>
    <row r="29" spans="1:6">
      <c r="E29" s="15">
        <v>559.71168439999997</v>
      </c>
      <c r="F29" s="15">
        <v>71.633118210000006</v>
      </c>
    </row>
    <row r="30" spans="1:6">
      <c r="E30" s="15">
        <v>584.97723819999999</v>
      </c>
      <c r="F30" s="15">
        <v>97.369752149999997</v>
      </c>
    </row>
    <row r="31" spans="1:6">
      <c r="E31" s="15"/>
      <c r="F31" s="15"/>
    </row>
    <row r="32" spans="1:6">
      <c r="A32" s="4" t="s">
        <v>84</v>
      </c>
      <c r="E32" s="15">
        <v>460.0151745</v>
      </c>
      <c r="F32" s="15">
        <v>18.688410699999999</v>
      </c>
    </row>
    <row r="33" spans="5:6">
      <c r="E33" s="15">
        <v>515.32625189999999</v>
      </c>
      <c r="F33" s="15">
        <v>38.641973049999997</v>
      </c>
    </row>
    <row r="34" spans="5:6">
      <c r="E34" s="15">
        <v>559.939302</v>
      </c>
      <c r="F34" s="15">
        <v>67.21575224</v>
      </c>
    </row>
    <row r="35" spans="5:6">
      <c r="E35" s="15">
        <v>600.22761760000003</v>
      </c>
      <c r="F35" s="15">
        <v>100.0006094</v>
      </c>
    </row>
  </sheetData>
  <pageMargins left="0" right="0" top="0" bottom="0" header="0" footer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D9"/>
  <sheetViews>
    <sheetView workbookViewId="0"/>
  </sheetViews>
  <sheetFormatPr defaultColWidth="11.25" defaultRowHeight="15" customHeight="1"/>
  <sheetData>
    <row r="1" spans="1:4">
      <c r="D1" s="12" t="s">
        <v>1</v>
      </c>
    </row>
    <row r="2" spans="1:4">
      <c r="A2" s="4" t="s">
        <v>85</v>
      </c>
      <c r="D2" s="15">
        <v>32.831325300000003</v>
      </c>
    </row>
    <row r="3" spans="1:4">
      <c r="A3" s="4" t="s">
        <v>78</v>
      </c>
      <c r="D3" s="15">
        <v>34.518072289999999</v>
      </c>
    </row>
    <row r="4" spans="1:4">
      <c r="A4" s="4" t="s">
        <v>86</v>
      </c>
      <c r="D4" s="15">
        <v>39.819277110000002</v>
      </c>
    </row>
    <row r="5" spans="1:4">
      <c r="A5" s="4" t="s">
        <v>84</v>
      </c>
      <c r="D5" s="15">
        <v>47.349397590000002</v>
      </c>
    </row>
    <row r="6" spans="1:4">
      <c r="A6" s="4" t="s">
        <v>87</v>
      </c>
      <c r="D6" s="15">
        <v>33.253012050000002</v>
      </c>
    </row>
    <row r="7" spans="1:4">
      <c r="A7" s="4" t="s">
        <v>88</v>
      </c>
      <c r="D7" s="15">
        <v>38.493975900000002</v>
      </c>
    </row>
    <row r="8" spans="1:4">
      <c r="A8" s="4" t="s">
        <v>81</v>
      </c>
      <c r="D8" s="15">
        <v>41.927710840000003</v>
      </c>
    </row>
    <row r="9" spans="1:4">
      <c r="A9" s="4" t="s">
        <v>89</v>
      </c>
      <c r="D9" s="15">
        <v>59.518072289999999</v>
      </c>
    </row>
  </sheetData>
  <pageMargins left="0" right="0" top="0" bottom="0" header="0" footer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D8"/>
  <sheetViews>
    <sheetView workbookViewId="0"/>
  </sheetViews>
  <sheetFormatPr defaultColWidth="11.25" defaultRowHeight="15" customHeight="1"/>
  <sheetData>
    <row r="1" spans="1:4">
      <c r="A1" s="14"/>
      <c r="D1" s="12" t="s">
        <v>1</v>
      </c>
    </row>
    <row r="2" spans="1:4">
      <c r="A2" s="4" t="s">
        <v>78</v>
      </c>
      <c r="D2" s="15">
        <v>36.58252427</v>
      </c>
    </row>
    <row r="3" spans="1:4">
      <c r="A3" s="4" t="s">
        <v>90</v>
      </c>
      <c r="D3" s="15">
        <v>49.398058249999998</v>
      </c>
    </row>
    <row r="4" spans="1:4">
      <c r="A4" s="4" t="s">
        <v>91</v>
      </c>
      <c r="D4" s="15">
        <v>54.990291259999999</v>
      </c>
    </row>
    <row r="5" spans="1:4">
      <c r="A5" s="4" t="s">
        <v>92</v>
      </c>
      <c r="D5" s="15">
        <v>61.165048540000001</v>
      </c>
    </row>
    <row r="6" spans="1:4">
      <c r="A6" s="4" t="s">
        <v>89</v>
      </c>
      <c r="D6" s="15">
        <v>59.650485439999997</v>
      </c>
    </row>
    <row r="7" spans="1:4">
      <c r="A7" s="4" t="s">
        <v>93</v>
      </c>
      <c r="D7" s="15">
        <v>46.019417480000001</v>
      </c>
    </row>
    <row r="8" spans="1:4">
      <c r="A8" s="4" t="s">
        <v>85</v>
      </c>
      <c r="D8" s="15">
        <v>35.30097087</v>
      </c>
    </row>
  </sheetData>
  <pageMargins left="0" right="0" top="0" bottom="0" header="0" footer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F56"/>
  <sheetViews>
    <sheetView workbookViewId="0"/>
  </sheetViews>
  <sheetFormatPr defaultColWidth="11.25" defaultRowHeight="15" customHeight="1"/>
  <sheetData>
    <row r="1" spans="1:6">
      <c r="E1" s="12" t="s">
        <v>1</v>
      </c>
      <c r="F1" s="13"/>
    </row>
    <row r="2" spans="1:6">
      <c r="A2" s="4" t="s">
        <v>94</v>
      </c>
      <c r="E2" s="15">
        <v>300.47491780000001</v>
      </c>
      <c r="F2" s="15">
        <v>8.8929580710000007</v>
      </c>
    </row>
    <row r="3" spans="1:6">
      <c r="E3" s="15">
        <v>324.84150219999998</v>
      </c>
      <c r="F3" s="15">
        <v>10.31755815</v>
      </c>
    </row>
    <row r="4" spans="1:6">
      <c r="E4" s="15">
        <v>350.50854829999997</v>
      </c>
      <c r="F4" s="15">
        <v>15.188573330000001</v>
      </c>
    </row>
    <row r="5" spans="1:6">
      <c r="E5" s="15">
        <v>375.73827089999997</v>
      </c>
      <c r="F5" s="15">
        <v>18.192652460000001</v>
      </c>
    </row>
    <row r="6" spans="1:6">
      <c r="E6" s="15">
        <v>400.54601489999999</v>
      </c>
      <c r="F6" s="15">
        <v>22.202319599999999</v>
      </c>
    </row>
    <row r="7" spans="1:6">
      <c r="E7" s="15">
        <v>424.93945250000002</v>
      </c>
      <c r="F7" s="15">
        <v>28.653836810000001</v>
      </c>
    </row>
    <row r="8" spans="1:6">
      <c r="E8" s="15">
        <v>450.61417080000001</v>
      </c>
      <c r="F8" s="15">
        <v>34.961114019999997</v>
      </c>
    </row>
    <row r="9" spans="1:6">
      <c r="E9" s="15">
        <v>475.85003130000001</v>
      </c>
      <c r="F9" s="15">
        <v>39.114202779999999</v>
      </c>
    </row>
    <row r="10" spans="1:6">
      <c r="E10" s="15">
        <v>501.08589180000001</v>
      </c>
      <c r="F10" s="15">
        <v>43.267291540000002</v>
      </c>
    </row>
    <row r="11" spans="1:6">
      <c r="E11" s="15">
        <v>525.9059115</v>
      </c>
      <c r="F11" s="15">
        <v>49.574977939999997</v>
      </c>
    </row>
    <row r="12" spans="1:6">
      <c r="E12" s="15">
        <v>550.28400439999996</v>
      </c>
      <c r="F12" s="15">
        <v>53.153971079999998</v>
      </c>
    </row>
    <row r="13" spans="1:6">
      <c r="E13" s="15">
        <v>575.15849779999996</v>
      </c>
      <c r="F13" s="15">
        <v>69.659117940000002</v>
      </c>
    </row>
    <row r="14" spans="1:6">
      <c r="E14" s="15">
        <v>600.80866460000004</v>
      </c>
      <c r="F14" s="15">
        <v>71.370356639999997</v>
      </c>
    </row>
    <row r="15" spans="1:6">
      <c r="E15" s="15"/>
      <c r="F15" s="15"/>
    </row>
    <row r="16" spans="1:6">
      <c r="A16" s="4" t="s">
        <v>95</v>
      </c>
      <c r="E16" s="15">
        <v>300.50177100000002</v>
      </c>
      <c r="F16" s="15">
        <v>13.9198752</v>
      </c>
    </row>
    <row r="17" spans="1:6">
      <c r="E17" s="15">
        <v>325.30798049999999</v>
      </c>
      <c r="F17" s="15">
        <v>17.642289940000001</v>
      </c>
    </row>
    <row r="18" spans="1:6">
      <c r="E18" s="15">
        <v>350.97272479999998</v>
      </c>
      <c r="F18" s="15">
        <v>22.082426510000001</v>
      </c>
    </row>
    <row r="19" spans="1:6">
      <c r="E19" s="15">
        <v>375.37613649999997</v>
      </c>
      <c r="F19" s="15">
        <v>30.401084359999999</v>
      </c>
    </row>
    <row r="20" spans="1:6">
      <c r="E20" s="15">
        <v>400.61122970000002</v>
      </c>
      <c r="F20" s="15">
        <v>34.410546910000001</v>
      </c>
    </row>
    <row r="21" spans="1:6">
      <c r="E21" s="15">
        <v>425.42664600000001</v>
      </c>
      <c r="F21" s="15">
        <v>39.856476090000001</v>
      </c>
    </row>
    <row r="22" spans="1:6">
      <c r="E22" s="15">
        <v>450.66941170000001</v>
      </c>
      <c r="F22" s="15">
        <v>45.302200679999999</v>
      </c>
    </row>
    <row r="23" spans="1:6">
      <c r="E23" s="15">
        <v>475.9121773</v>
      </c>
      <c r="F23" s="15">
        <v>50.747925270000003</v>
      </c>
    </row>
    <row r="24" spans="1:6">
      <c r="E24" s="15">
        <v>500.29947700000002</v>
      </c>
      <c r="F24" s="15">
        <v>56.05043285</v>
      </c>
    </row>
    <row r="25" spans="1:6">
      <c r="E25" s="15">
        <v>525.54224260000001</v>
      </c>
      <c r="F25" s="15">
        <v>61.496157439999998</v>
      </c>
    </row>
    <row r="26" spans="1:6">
      <c r="E26" s="15">
        <v>550.78500819999999</v>
      </c>
      <c r="F26" s="15">
        <v>66.941882019999994</v>
      </c>
    </row>
    <row r="27" spans="1:6">
      <c r="E27" s="15">
        <v>575.17307519999997</v>
      </c>
      <c r="F27" s="15">
        <v>72.388015809999999</v>
      </c>
    </row>
    <row r="28" spans="1:6">
      <c r="E28" s="15">
        <v>601.27053950000004</v>
      </c>
      <c r="F28" s="15">
        <v>77.833331200000003</v>
      </c>
    </row>
    <row r="29" spans="1:6">
      <c r="E29" s="15"/>
      <c r="F29" s="15"/>
    </row>
    <row r="30" spans="1:6">
      <c r="A30" s="4" t="s">
        <v>96</v>
      </c>
      <c r="E30" s="15">
        <v>300.0529391</v>
      </c>
      <c r="F30" s="15">
        <v>9.8985460920000001</v>
      </c>
    </row>
    <row r="31" spans="1:6">
      <c r="E31" s="15">
        <v>325.28879970000003</v>
      </c>
      <c r="F31" s="15">
        <v>14.051634849999999</v>
      </c>
    </row>
    <row r="32" spans="1:6">
      <c r="E32" s="15">
        <v>350.08963849999998</v>
      </c>
      <c r="F32" s="15">
        <v>16.768666159999999</v>
      </c>
    </row>
    <row r="33" spans="1:6">
      <c r="E33" s="15">
        <v>375.31782670000001</v>
      </c>
      <c r="F33" s="15">
        <v>19.485492879999999</v>
      </c>
    </row>
    <row r="34" spans="1:6">
      <c r="E34" s="15">
        <v>400.5552217</v>
      </c>
      <c r="F34" s="15">
        <v>23.925834049999999</v>
      </c>
    </row>
    <row r="35" spans="1:6">
      <c r="E35" s="15">
        <v>424.9279439</v>
      </c>
      <c r="F35" s="15">
        <v>26.499443759999998</v>
      </c>
    </row>
    <row r="36" spans="1:6">
      <c r="E36" s="15">
        <v>451.0223393</v>
      </c>
      <c r="F36" s="15">
        <v>31.370254339999999</v>
      </c>
    </row>
    <row r="37" spans="1:6">
      <c r="E37" s="15">
        <v>475.40426839999998</v>
      </c>
      <c r="F37" s="15">
        <v>35.667378489999997</v>
      </c>
    </row>
    <row r="38" spans="1:6">
      <c r="E38" s="15">
        <v>501.066711</v>
      </c>
      <c r="F38" s="15">
        <v>39.676636449999997</v>
      </c>
    </row>
    <row r="39" spans="1:6">
      <c r="E39" s="15">
        <v>525.44403669999997</v>
      </c>
      <c r="F39" s="15">
        <v>43.112003379999997</v>
      </c>
    </row>
    <row r="40" spans="1:6">
      <c r="E40" s="15">
        <v>550.25945300000001</v>
      </c>
      <c r="F40" s="15">
        <v>48.557932559999998</v>
      </c>
    </row>
    <row r="41" spans="1:6">
      <c r="E41" s="15">
        <v>575.93263690000003</v>
      </c>
      <c r="F41" s="15">
        <v>54.57795737</v>
      </c>
    </row>
    <row r="42" spans="1:6">
      <c r="E42" s="15">
        <v>600.75725999999997</v>
      </c>
      <c r="F42" s="15">
        <v>61.747400990000003</v>
      </c>
    </row>
    <row r="43" spans="1:6">
      <c r="E43" s="15"/>
      <c r="F43" s="15"/>
    </row>
    <row r="44" spans="1:6">
      <c r="A44" s="4" t="s">
        <v>97</v>
      </c>
      <c r="E44" s="15">
        <v>300.06291320000003</v>
      </c>
      <c r="F44" s="15">
        <v>11.76568674</v>
      </c>
    </row>
    <row r="45" spans="1:6">
      <c r="E45" s="15">
        <v>325.28956690000001</v>
      </c>
      <c r="F45" s="15">
        <v>14.195261049999999</v>
      </c>
    </row>
    <row r="46" spans="1:6">
      <c r="E46" s="15">
        <v>350.52312569999998</v>
      </c>
      <c r="F46" s="15">
        <v>17.917471200000001</v>
      </c>
    </row>
    <row r="47" spans="1:6">
      <c r="E47" s="15">
        <v>375.33317140000003</v>
      </c>
      <c r="F47" s="15">
        <v>22.35801696</v>
      </c>
    </row>
    <row r="48" spans="1:6">
      <c r="E48" s="15">
        <v>400.58591100000001</v>
      </c>
      <c r="F48" s="15">
        <v>29.67088219</v>
      </c>
    </row>
    <row r="49" spans="5:6">
      <c r="E49" s="15">
        <v>425.83251280000002</v>
      </c>
      <c r="F49" s="15">
        <v>35.834737799999999</v>
      </c>
    </row>
    <row r="50" spans="5:6">
      <c r="E50" s="15">
        <v>450.654067</v>
      </c>
      <c r="F50" s="15">
        <v>42.429676610000001</v>
      </c>
    </row>
    <row r="51" spans="5:6">
      <c r="E51" s="15">
        <v>475.47869009999999</v>
      </c>
      <c r="F51" s="15">
        <v>49.599120239999998</v>
      </c>
    </row>
    <row r="52" spans="5:6">
      <c r="E52" s="15">
        <v>499.86445529999997</v>
      </c>
      <c r="F52" s="15">
        <v>54.614375410000001</v>
      </c>
    </row>
    <row r="53" spans="5:6">
      <c r="E53" s="15">
        <v>525.53226859999995</v>
      </c>
      <c r="F53" s="15">
        <v>59.629016790000001</v>
      </c>
    </row>
    <row r="54" spans="5:6">
      <c r="E54" s="15">
        <v>550.76045680000004</v>
      </c>
      <c r="F54" s="15">
        <v>62.345843510000002</v>
      </c>
    </row>
    <row r="55" spans="5:6">
      <c r="E55" s="15">
        <v>575.58661429999995</v>
      </c>
      <c r="F55" s="15">
        <v>69.802539539999998</v>
      </c>
    </row>
    <row r="56" spans="5:6">
      <c r="E56" s="15">
        <v>600.39205660000005</v>
      </c>
      <c r="F56" s="15">
        <v>73.381328080000003</v>
      </c>
    </row>
  </sheetData>
  <pageMargins left="0" right="0" top="0" bottom="0" header="0" footer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F32"/>
  <sheetViews>
    <sheetView workbookViewId="0"/>
  </sheetViews>
  <sheetFormatPr defaultColWidth="11.25" defaultRowHeight="15" customHeight="1"/>
  <sheetData>
    <row r="1" spans="1:6">
      <c r="E1" s="12" t="s">
        <v>1</v>
      </c>
      <c r="F1" s="13"/>
    </row>
    <row r="2" spans="1:6">
      <c r="A2" s="4" t="s">
        <v>98</v>
      </c>
      <c r="E2" s="15">
        <v>400.51813470000002</v>
      </c>
      <c r="F2" s="15">
        <v>0</v>
      </c>
    </row>
    <row r="3" spans="1:6">
      <c r="E3" s="15">
        <v>450.77720210000001</v>
      </c>
      <c r="F3" s="15">
        <v>-0.20242914980000001</v>
      </c>
    </row>
    <row r="4" spans="1:6">
      <c r="E4" s="15">
        <v>500</v>
      </c>
      <c r="F4" s="15">
        <v>1.417004049</v>
      </c>
    </row>
    <row r="5" spans="1:6">
      <c r="E5" s="15">
        <v>550.77720209999995</v>
      </c>
      <c r="F5" s="15">
        <v>5.6680161939999998</v>
      </c>
    </row>
    <row r="6" spans="1:6">
      <c r="E6" s="15">
        <v>600</v>
      </c>
      <c r="F6" s="15">
        <v>19.43319838</v>
      </c>
    </row>
    <row r="7" spans="1:6">
      <c r="E7" s="15">
        <v>649.74093259999995</v>
      </c>
      <c r="F7" s="15">
        <v>47.165991900000002</v>
      </c>
    </row>
    <row r="8" spans="1:6">
      <c r="E8" s="15">
        <v>700</v>
      </c>
      <c r="F8" s="15">
        <v>70.242914979999995</v>
      </c>
    </row>
    <row r="9" spans="1:6">
      <c r="E9" s="15"/>
      <c r="F9" s="15"/>
    </row>
    <row r="10" spans="1:6">
      <c r="A10" s="4" t="s">
        <v>99</v>
      </c>
      <c r="E10" s="15">
        <v>400</v>
      </c>
      <c r="F10" s="15">
        <v>-0.20242914980000001</v>
      </c>
    </row>
    <row r="11" spans="1:6">
      <c r="E11" s="15">
        <v>449.74093260000001</v>
      </c>
      <c r="F11" s="15">
        <v>0.60728744940000001</v>
      </c>
    </row>
    <row r="12" spans="1:6">
      <c r="E12" s="15">
        <v>500</v>
      </c>
      <c r="F12" s="15">
        <v>2.6315789469999999</v>
      </c>
    </row>
    <row r="13" spans="1:6">
      <c r="E13" s="15">
        <v>549.74093259999995</v>
      </c>
      <c r="F13" s="15">
        <v>10.121457489999999</v>
      </c>
    </row>
    <row r="14" spans="1:6">
      <c r="E14" s="15">
        <v>600</v>
      </c>
      <c r="F14" s="15">
        <v>27.935222670000002</v>
      </c>
    </row>
    <row r="15" spans="1:6">
      <c r="E15" s="15">
        <v>649.74093259999995</v>
      </c>
      <c r="F15" s="15">
        <v>60.526315789999998</v>
      </c>
    </row>
    <row r="16" spans="1:6">
      <c r="E16" s="15">
        <v>700</v>
      </c>
      <c r="F16" s="15">
        <v>91.497975710000006</v>
      </c>
    </row>
    <row r="17" spans="1:6">
      <c r="E17" s="15"/>
      <c r="F17" s="15"/>
    </row>
    <row r="18" spans="1:6">
      <c r="A18" s="4" t="s">
        <v>100</v>
      </c>
      <c r="E18" s="15">
        <v>399.48186529999998</v>
      </c>
      <c r="F18" s="15">
        <v>-0.20242914980000001</v>
      </c>
    </row>
    <row r="19" spans="1:6">
      <c r="E19" s="15">
        <v>449.22279789999999</v>
      </c>
      <c r="F19" s="15">
        <v>1.821862348</v>
      </c>
    </row>
    <row r="20" spans="1:6">
      <c r="E20" s="15">
        <v>500</v>
      </c>
      <c r="F20" s="15">
        <v>8.0971659920000008</v>
      </c>
    </row>
    <row r="21" spans="1:6">
      <c r="E21" s="15">
        <v>549.22279790000005</v>
      </c>
      <c r="F21" s="15">
        <v>23.481781380000001</v>
      </c>
    </row>
    <row r="22" spans="1:6">
      <c r="E22" s="15">
        <v>599.48186529999998</v>
      </c>
      <c r="F22" s="15">
        <v>50.20242915</v>
      </c>
    </row>
    <row r="23" spans="1:6">
      <c r="E23" s="15">
        <v>649.22279790000005</v>
      </c>
      <c r="F23" s="15">
        <v>72.672064779999999</v>
      </c>
    </row>
    <row r="24" spans="1:6">
      <c r="E24" s="15">
        <v>698.96373059999996</v>
      </c>
      <c r="F24" s="15">
        <v>94.331983809999997</v>
      </c>
    </row>
    <row r="25" spans="1:6">
      <c r="E25" s="15"/>
      <c r="F25" s="15"/>
    </row>
    <row r="26" spans="1:6">
      <c r="A26" s="4" t="s">
        <v>101</v>
      </c>
      <c r="E26" s="15">
        <v>400.51813470000002</v>
      </c>
      <c r="F26" s="15">
        <v>-0.40485829960000003</v>
      </c>
    </row>
    <row r="27" spans="1:6">
      <c r="E27" s="15">
        <v>449.74093260000001</v>
      </c>
      <c r="F27" s="15">
        <v>1.0121457490000001</v>
      </c>
    </row>
    <row r="28" spans="1:6">
      <c r="E28" s="15">
        <v>499.48186529999998</v>
      </c>
      <c r="F28" s="15">
        <v>7.2874493930000002</v>
      </c>
    </row>
    <row r="29" spans="1:6">
      <c r="E29" s="15">
        <v>549.74093259999995</v>
      </c>
      <c r="F29" s="15">
        <v>17.61133603</v>
      </c>
    </row>
    <row r="30" spans="1:6">
      <c r="E30" s="15">
        <v>600</v>
      </c>
      <c r="F30" s="15">
        <v>45.748987849999999</v>
      </c>
    </row>
    <row r="31" spans="1:6">
      <c r="E31" s="15">
        <v>649.74093259999995</v>
      </c>
      <c r="F31" s="15">
        <v>70.242914979999995</v>
      </c>
    </row>
    <row r="32" spans="1:6">
      <c r="E32" s="15">
        <v>699.48186529999998</v>
      </c>
      <c r="F32" s="15">
        <v>97.165991899999995</v>
      </c>
    </row>
  </sheetData>
  <pageMargins left="0" right="0" top="0" bottom="0" header="0" footer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F40"/>
  <sheetViews>
    <sheetView workbookViewId="0"/>
  </sheetViews>
  <sheetFormatPr defaultColWidth="11.25" defaultRowHeight="15" customHeight="1"/>
  <sheetData>
    <row r="1" spans="1:6">
      <c r="E1" s="12" t="s">
        <v>1</v>
      </c>
      <c r="F1" s="13"/>
    </row>
    <row r="2" spans="1:6">
      <c r="A2" s="4" t="s">
        <v>102</v>
      </c>
      <c r="E2" s="15">
        <v>399.4809707</v>
      </c>
      <c r="F2" s="15">
        <v>-1.7091691690000001E-2</v>
      </c>
    </row>
    <row r="3" spans="1:6">
      <c r="E3" s="15">
        <v>450.35212369999999</v>
      </c>
      <c r="F3" s="15">
        <v>1.1583981249999999</v>
      </c>
    </row>
    <row r="4" spans="1:6">
      <c r="E4" s="15">
        <v>499.68711739999998</v>
      </c>
      <c r="F4" s="15">
        <v>6.3671783709999996</v>
      </c>
    </row>
    <row r="5" spans="1:6">
      <c r="E5" s="15">
        <v>549.04617900000005</v>
      </c>
      <c r="F5" s="15">
        <v>16.213039219999999</v>
      </c>
    </row>
    <row r="6" spans="1:6">
      <c r="E6" s="15">
        <v>598.97763780000002</v>
      </c>
      <c r="F6" s="15">
        <v>36.34077345</v>
      </c>
    </row>
    <row r="7" spans="1:6">
      <c r="E7" s="15">
        <v>648.93735019999997</v>
      </c>
      <c r="F7" s="15">
        <v>61.912037089999998</v>
      </c>
    </row>
    <row r="8" spans="1:6">
      <c r="E8" s="15">
        <v>699.98325709999995</v>
      </c>
      <c r="F8" s="15">
        <v>96.7567643</v>
      </c>
    </row>
    <row r="9" spans="1:6">
      <c r="E9" s="15"/>
      <c r="F9" s="15"/>
    </row>
    <row r="10" spans="1:6">
      <c r="A10" s="14" t="s">
        <v>103</v>
      </c>
      <c r="E10" s="15">
        <v>400.00104640000001</v>
      </c>
      <c r="F10" s="15">
        <v>0.18417169829999999</v>
      </c>
    </row>
    <row r="11" spans="1:6">
      <c r="E11" s="15">
        <v>449.31301860000002</v>
      </c>
      <c r="F11" s="15">
        <v>0.95748354489999998</v>
      </c>
    </row>
    <row r="12" spans="1:6">
      <c r="E12" s="15">
        <v>500.71785110000002</v>
      </c>
      <c r="F12" s="15">
        <v>4.9551953510000004</v>
      </c>
    </row>
    <row r="13" spans="1:6">
      <c r="E13" s="15">
        <v>550.0748198</v>
      </c>
      <c r="F13" s="15">
        <v>14.397831800000001</v>
      </c>
    </row>
    <row r="14" spans="1:6">
      <c r="E14" s="15">
        <v>599.48097069999994</v>
      </c>
      <c r="F14" s="15">
        <v>33.316241640000001</v>
      </c>
    </row>
    <row r="15" spans="1:6">
      <c r="E15" s="15">
        <v>650.49548470000002</v>
      </c>
      <c r="F15" s="15">
        <v>62.112602860000003</v>
      </c>
    </row>
    <row r="16" spans="1:6">
      <c r="E16" s="15">
        <v>699.9822107</v>
      </c>
      <c r="F16" s="15">
        <v>96.555152100000001</v>
      </c>
    </row>
    <row r="17" spans="1:6">
      <c r="E17" s="15"/>
      <c r="F17" s="15"/>
    </row>
    <row r="18" spans="1:6">
      <c r="A18" s="4" t="s">
        <v>104</v>
      </c>
      <c r="E18" s="15">
        <v>398.96298780000001</v>
      </c>
      <c r="F18" s="15">
        <v>0.1848693183</v>
      </c>
    </row>
    <row r="19" spans="1:6">
      <c r="E19" s="15">
        <v>449.31197220000001</v>
      </c>
      <c r="F19" s="15">
        <v>0.75587134489999996</v>
      </c>
    </row>
    <row r="20" spans="1:6">
      <c r="E20" s="15">
        <v>499.67874599999999</v>
      </c>
      <c r="F20" s="15">
        <v>4.7542807710000003</v>
      </c>
    </row>
    <row r="21" spans="1:6">
      <c r="E21" s="15">
        <v>549.55683690000001</v>
      </c>
      <c r="F21" s="15">
        <v>14.59979281</v>
      </c>
    </row>
    <row r="22" spans="1:6">
      <c r="E22" s="15">
        <v>601.04433719999997</v>
      </c>
      <c r="F22" s="15">
        <v>34.524868410000003</v>
      </c>
    </row>
    <row r="23" spans="1:6">
      <c r="E23" s="15">
        <v>649.9942446</v>
      </c>
      <c r="F23" s="15">
        <v>65.540359069999994</v>
      </c>
    </row>
    <row r="24" spans="1:6">
      <c r="E24" s="15">
        <v>701.00352650000002</v>
      </c>
      <c r="F24" s="15">
        <v>93.328659279999997</v>
      </c>
    </row>
    <row r="25" spans="1:6">
      <c r="E25" s="15"/>
      <c r="F25" s="15"/>
    </row>
    <row r="26" spans="1:6">
      <c r="A26" s="4" t="s">
        <v>105</v>
      </c>
      <c r="E26" s="15">
        <v>400.5190293</v>
      </c>
      <c r="F26" s="15">
        <v>-1.7789311759999999E-2</v>
      </c>
    </row>
    <row r="27" spans="1:6">
      <c r="E27" s="15">
        <v>448.79398930000002</v>
      </c>
      <c r="F27" s="15">
        <v>0.95783235489999996</v>
      </c>
    </row>
    <row r="28" spans="1:6">
      <c r="E28" s="15">
        <v>500.1988217</v>
      </c>
      <c r="F28" s="15">
        <v>4.9555441609999997</v>
      </c>
    </row>
    <row r="29" spans="1:6">
      <c r="E29" s="15">
        <v>550.08842330000004</v>
      </c>
      <c r="F29" s="15">
        <v>17.0187904</v>
      </c>
    </row>
    <row r="30" spans="1:6">
      <c r="E30" s="15">
        <v>599.5039921</v>
      </c>
      <c r="F30" s="15">
        <v>37.751710039999999</v>
      </c>
    </row>
    <row r="31" spans="1:6">
      <c r="E31" s="15">
        <v>649.97331599999995</v>
      </c>
      <c r="F31" s="15">
        <v>61.508115070000002</v>
      </c>
    </row>
    <row r="32" spans="1:6">
      <c r="E32" s="15">
        <v>700.44891849999999</v>
      </c>
      <c r="F32" s="15">
        <v>86.474193290000002</v>
      </c>
    </row>
    <row r="33" spans="1:6">
      <c r="E33" s="15"/>
      <c r="F33" s="15"/>
    </row>
    <row r="34" spans="1:6">
      <c r="A34" s="4" t="s">
        <v>106</v>
      </c>
      <c r="E34" s="15">
        <v>400.01465000000002</v>
      </c>
      <c r="F34" s="15">
        <v>2.8051302979999999</v>
      </c>
    </row>
    <row r="35" spans="1:6">
      <c r="E35" s="15">
        <v>449.8854159</v>
      </c>
      <c r="F35" s="15">
        <v>11.23935693</v>
      </c>
    </row>
    <row r="36" spans="1:6">
      <c r="E36" s="15">
        <v>499.78966750000001</v>
      </c>
      <c r="F36" s="15">
        <v>26.125173969999999</v>
      </c>
    </row>
    <row r="37" spans="1:6">
      <c r="E37" s="15">
        <v>550.24852710000005</v>
      </c>
      <c r="F37" s="15">
        <v>47.865456989999998</v>
      </c>
    </row>
    <row r="38" spans="1:6">
      <c r="E38" s="15">
        <v>600.21975029999999</v>
      </c>
      <c r="F38" s="15">
        <v>75.654454830000006</v>
      </c>
    </row>
    <row r="39" spans="1:6">
      <c r="E39" s="15">
        <v>650.13969840000004</v>
      </c>
      <c r="F39" s="15">
        <v>93.564454859999998</v>
      </c>
    </row>
    <row r="40" spans="1:6">
      <c r="E40" s="15">
        <v>699.99895360000005</v>
      </c>
      <c r="F40" s="15">
        <v>99.780947299999994</v>
      </c>
    </row>
  </sheetData>
  <pageMargins left="0" right="0" top="0" bottom="0" header="0" footer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F35"/>
  <sheetViews>
    <sheetView workbookViewId="0"/>
  </sheetViews>
  <sheetFormatPr defaultColWidth="11.25" defaultRowHeight="15" customHeight="1"/>
  <sheetData>
    <row r="1" spans="1:6">
      <c r="E1" s="12" t="s">
        <v>1</v>
      </c>
      <c r="F1" s="13"/>
    </row>
    <row r="2" spans="1:6">
      <c r="A2" s="4" t="s">
        <v>107</v>
      </c>
      <c r="E2" s="15">
        <v>301.03734439999999</v>
      </c>
      <c r="F2" s="15">
        <v>0.67114093959999999</v>
      </c>
    </row>
    <row r="3" spans="1:6">
      <c r="E3" s="15">
        <v>350.13831260000001</v>
      </c>
      <c r="F3" s="15">
        <v>0.83892617449999995</v>
      </c>
    </row>
    <row r="4" spans="1:6">
      <c r="E4" s="15">
        <v>400.27662520000001</v>
      </c>
      <c r="F4" s="15">
        <v>12.24832215</v>
      </c>
    </row>
    <row r="5" spans="1:6">
      <c r="E5" s="15">
        <v>449.72337479999999</v>
      </c>
      <c r="F5" s="15">
        <v>27.68456376</v>
      </c>
    </row>
    <row r="6" spans="1:6">
      <c r="E6" s="15">
        <v>499.86168739999999</v>
      </c>
      <c r="F6" s="15">
        <v>55.201342279999999</v>
      </c>
    </row>
    <row r="7" spans="1:6">
      <c r="E7" s="15">
        <v>550</v>
      </c>
      <c r="F7" s="15">
        <v>84.228187919999996</v>
      </c>
    </row>
    <row r="8" spans="1:6">
      <c r="E8" s="15"/>
      <c r="F8" s="15"/>
    </row>
    <row r="9" spans="1:6">
      <c r="A9" s="4" t="s">
        <v>108</v>
      </c>
      <c r="E9" s="15">
        <v>301.03734439999999</v>
      </c>
      <c r="F9" s="15">
        <v>1.174496644</v>
      </c>
    </row>
    <row r="10" spans="1:6">
      <c r="E10" s="15">
        <v>350.13831260000001</v>
      </c>
      <c r="F10" s="15">
        <v>1.6778523489999999</v>
      </c>
    </row>
    <row r="11" spans="1:6">
      <c r="E11" s="15">
        <v>400.27662520000001</v>
      </c>
      <c r="F11" s="15">
        <v>10.5704698</v>
      </c>
    </row>
    <row r="12" spans="1:6">
      <c r="E12" s="15">
        <v>450.06915629999997</v>
      </c>
      <c r="F12" s="15">
        <v>27.68456376</v>
      </c>
    </row>
    <row r="13" spans="1:6">
      <c r="E13" s="15">
        <v>500.20746889999998</v>
      </c>
      <c r="F13" s="15">
        <v>53.523489929999997</v>
      </c>
    </row>
    <row r="14" spans="1:6">
      <c r="E14" s="15">
        <v>550.34578150000004</v>
      </c>
      <c r="F14" s="15">
        <v>87.919463089999994</v>
      </c>
    </row>
    <row r="15" spans="1:6">
      <c r="E15" s="15"/>
      <c r="F15" s="15"/>
    </row>
    <row r="16" spans="1:6">
      <c r="A16" s="4" t="s">
        <v>109</v>
      </c>
      <c r="E16" s="15">
        <v>301.38312589999998</v>
      </c>
      <c r="F16" s="15">
        <v>1.342281879</v>
      </c>
    </row>
    <row r="17" spans="1:6">
      <c r="E17" s="15">
        <v>350.13831260000001</v>
      </c>
      <c r="F17" s="15">
        <v>3.6912751680000002</v>
      </c>
    </row>
    <row r="18" spans="1:6">
      <c r="E18" s="15">
        <v>399.93084370000003</v>
      </c>
      <c r="F18" s="15">
        <v>19.127516780000001</v>
      </c>
    </row>
    <row r="19" spans="1:6">
      <c r="E19" s="15">
        <v>450.06915629999997</v>
      </c>
      <c r="F19" s="15">
        <v>41.946308719999998</v>
      </c>
    </row>
    <row r="20" spans="1:6">
      <c r="E20" s="15">
        <v>500.20746889999998</v>
      </c>
      <c r="F20" s="15">
        <v>71.644295299999996</v>
      </c>
    </row>
    <row r="21" spans="1:6">
      <c r="E21" s="15">
        <v>550.34578150000004</v>
      </c>
      <c r="F21" s="15">
        <v>99.4966443</v>
      </c>
    </row>
    <row r="22" spans="1:6">
      <c r="E22" s="15"/>
      <c r="F22" s="15"/>
    </row>
    <row r="23" spans="1:6">
      <c r="A23" s="4" t="s">
        <v>110</v>
      </c>
      <c r="E23" s="15">
        <v>301.38312589999998</v>
      </c>
      <c r="F23" s="15">
        <v>1.006711409</v>
      </c>
    </row>
    <row r="24" spans="1:6">
      <c r="E24" s="15">
        <v>350.13831260000001</v>
      </c>
      <c r="F24" s="15">
        <v>1.5100671139999999</v>
      </c>
    </row>
    <row r="25" spans="1:6">
      <c r="E25" s="15">
        <v>399.58506219999998</v>
      </c>
      <c r="F25" s="15">
        <v>14.93288591</v>
      </c>
    </row>
    <row r="26" spans="1:6">
      <c r="E26" s="15">
        <v>450.06915629999997</v>
      </c>
      <c r="F26" s="15">
        <v>35.906040269999998</v>
      </c>
    </row>
    <row r="27" spans="1:6">
      <c r="E27" s="15">
        <v>500.20746889999998</v>
      </c>
      <c r="F27" s="15">
        <v>64.932885909999996</v>
      </c>
    </row>
    <row r="28" spans="1:6">
      <c r="E28" s="15">
        <v>549.65421849999996</v>
      </c>
      <c r="F28" s="15">
        <v>96.644295299999996</v>
      </c>
    </row>
    <row r="29" spans="1:6">
      <c r="E29" s="15"/>
      <c r="F29" s="15"/>
    </row>
    <row r="30" spans="1:6">
      <c r="A30" s="4" t="s">
        <v>111</v>
      </c>
      <c r="E30" s="15">
        <v>300.69156290000001</v>
      </c>
      <c r="F30" s="15">
        <v>0.83892617449999995</v>
      </c>
    </row>
    <row r="31" spans="1:6">
      <c r="E31" s="15">
        <v>350.13831260000001</v>
      </c>
      <c r="F31" s="15">
        <v>1.5100671139999999</v>
      </c>
    </row>
    <row r="32" spans="1:6">
      <c r="E32" s="15">
        <v>400.27662520000001</v>
      </c>
      <c r="F32" s="15">
        <v>7.2147651010000002</v>
      </c>
    </row>
    <row r="33" spans="5:6">
      <c r="E33" s="15">
        <v>450.06915629999997</v>
      </c>
      <c r="F33" s="15">
        <v>24.4966443</v>
      </c>
    </row>
    <row r="34" spans="5:6">
      <c r="E34" s="15">
        <v>499.86168739999999</v>
      </c>
      <c r="F34" s="15">
        <v>48.825503359999999</v>
      </c>
    </row>
    <row r="35" spans="5:6">
      <c r="E35" s="15">
        <v>550.34578150000004</v>
      </c>
      <c r="F35" s="15">
        <v>76.342281880000002</v>
      </c>
    </row>
  </sheetData>
  <pageMargins left="0" right="0" top="0" bottom="0" header="0" footer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F21"/>
  <sheetViews>
    <sheetView workbookViewId="0"/>
  </sheetViews>
  <sheetFormatPr defaultColWidth="11.25" defaultRowHeight="15" customHeight="1"/>
  <sheetData>
    <row r="1" spans="1:6">
      <c r="E1" s="12" t="s">
        <v>1</v>
      </c>
      <c r="F1" s="13"/>
    </row>
    <row r="2" spans="1:6">
      <c r="A2" s="4" t="s">
        <v>112</v>
      </c>
      <c r="E2" s="15">
        <v>399.64705880000002</v>
      </c>
      <c r="F2" s="15">
        <v>0</v>
      </c>
    </row>
    <row r="3" spans="1:6">
      <c r="E3" s="15">
        <v>499.8823529</v>
      </c>
      <c r="F3" s="15">
        <v>0.45045045049999999</v>
      </c>
    </row>
    <row r="4" spans="1:6">
      <c r="E4" s="15">
        <v>550.35294120000003</v>
      </c>
      <c r="F4" s="15">
        <v>3.8288288289999999</v>
      </c>
    </row>
    <row r="5" spans="1:6">
      <c r="E5" s="15">
        <v>600.82352939999998</v>
      </c>
      <c r="F5" s="15">
        <v>19.369369370000001</v>
      </c>
    </row>
    <row r="6" spans="1:6">
      <c r="E6" s="15">
        <v>650.58823529999995</v>
      </c>
      <c r="F6" s="15">
        <v>67.117117120000003</v>
      </c>
    </row>
    <row r="7" spans="1:6">
      <c r="E7" s="15">
        <v>700.35294120000003</v>
      </c>
      <c r="F7" s="15">
        <v>88.738738740000002</v>
      </c>
    </row>
    <row r="8" spans="1:6">
      <c r="E8" s="15"/>
      <c r="F8" s="15"/>
    </row>
    <row r="9" spans="1:6">
      <c r="A9" s="4" t="s">
        <v>113</v>
      </c>
      <c r="E9" s="15">
        <v>399.64705880000002</v>
      </c>
      <c r="F9" s="15">
        <v>0</v>
      </c>
    </row>
    <row r="10" spans="1:6">
      <c r="E10" s="15">
        <v>500.58823530000001</v>
      </c>
      <c r="F10" s="15">
        <v>1.3513513509999999</v>
      </c>
    </row>
    <row r="11" spans="1:6">
      <c r="E11" s="15">
        <v>549.64705879999997</v>
      </c>
      <c r="F11" s="15">
        <v>10.135135139999999</v>
      </c>
    </row>
    <row r="12" spans="1:6">
      <c r="E12" s="15">
        <v>599.76470589999997</v>
      </c>
      <c r="F12" s="15">
        <v>46.846846849999999</v>
      </c>
    </row>
    <row r="13" spans="1:6">
      <c r="E13" s="15">
        <v>649.52941180000005</v>
      </c>
      <c r="F13" s="15">
        <v>83.783783779999993</v>
      </c>
    </row>
    <row r="14" spans="1:6">
      <c r="E14" s="15">
        <v>699.64705879999997</v>
      </c>
      <c r="F14" s="15">
        <v>99.774774769999993</v>
      </c>
    </row>
    <row r="15" spans="1:6">
      <c r="E15" s="15"/>
      <c r="F15" s="15"/>
    </row>
    <row r="16" spans="1:6">
      <c r="A16" s="4" t="s">
        <v>114</v>
      </c>
      <c r="E16" s="15">
        <v>400</v>
      </c>
      <c r="F16" s="15">
        <v>-0.45045045049999999</v>
      </c>
    </row>
    <row r="17" spans="5:6">
      <c r="E17" s="15">
        <v>499.8823529</v>
      </c>
      <c r="F17" s="15">
        <v>-0.90090090089999997</v>
      </c>
    </row>
    <row r="18" spans="5:6">
      <c r="E18" s="15">
        <v>549.29411760000005</v>
      </c>
      <c r="F18" s="15">
        <v>0.90090090089999997</v>
      </c>
    </row>
    <row r="19" spans="5:6">
      <c r="E19" s="15">
        <v>600.1176471</v>
      </c>
      <c r="F19" s="15">
        <v>13.288288290000001</v>
      </c>
    </row>
    <row r="20" spans="5:6">
      <c r="E20" s="15">
        <v>649.8823529</v>
      </c>
      <c r="F20" s="15">
        <v>48.873873869999997</v>
      </c>
    </row>
    <row r="21" spans="5:6">
      <c r="E21" s="15">
        <v>700</v>
      </c>
      <c r="F21" s="15">
        <v>81.531531529999995</v>
      </c>
    </row>
  </sheetData>
  <pageMargins left="0" right="0" top="0" bottom="0" header="0" footer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F21"/>
  <sheetViews>
    <sheetView workbookViewId="0"/>
  </sheetViews>
  <sheetFormatPr defaultColWidth="11.25" defaultRowHeight="15" customHeight="1"/>
  <sheetData>
    <row r="1" spans="1:6">
      <c r="E1" s="12" t="s">
        <v>1</v>
      </c>
      <c r="F1" s="13"/>
    </row>
    <row r="2" spans="1:6">
      <c r="A2" s="4" t="s">
        <v>115</v>
      </c>
      <c r="E2" s="15">
        <v>399.29411759999999</v>
      </c>
      <c r="F2" s="15">
        <v>0.4488778055</v>
      </c>
    </row>
    <row r="3" spans="1:6">
      <c r="E3" s="15">
        <v>500.23529409999998</v>
      </c>
      <c r="F3" s="15">
        <v>2.4688279299999998</v>
      </c>
    </row>
    <row r="4" spans="1:6">
      <c r="E4" s="15">
        <v>549.64705879999997</v>
      </c>
      <c r="F4" s="15">
        <v>9.6508728179999999</v>
      </c>
    </row>
    <row r="5" spans="1:6">
      <c r="E5" s="15">
        <v>599.76470589999997</v>
      </c>
      <c r="F5" s="15">
        <v>41.072319200000003</v>
      </c>
    </row>
    <row r="6" spans="1:6">
      <c r="E6" s="15">
        <v>650.23529410000003</v>
      </c>
      <c r="F6" s="15">
        <v>80.798004989999995</v>
      </c>
    </row>
    <row r="7" spans="1:6">
      <c r="E7" s="15">
        <v>700</v>
      </c>
      <c r="F7" s="15">
        <v>96.508728180000006</v>
      </c>
    </row>
    <row r="8" spans="1:6">
      <c r="E8" s="15"/>
      <c r="F8" s="15"/>
    </row>
    <row r="9" spans="1:6">
      <c r="A9" s="4" t="s">
        <v>116</v>
      </c>
      <c r="E9" s="15">
        <v>400</v>
      </c>
      <c r="F9" s="15">
        <v>0.4488778055</v>
      </c>
    </row>
    <row r="10" spans="1:6">
      <c r="E10" s="15">
        <v>500.94117649999998</v>
      </c>
      <c r="F10" s="15">
        <v>2.0199501249999998</v>
      </c>
    </row>
    <row r="11" spans="1:6">
      <c r="E11" s="15">
        <v>549.64705879999997</v>
      </c>
      <c r="F11" s="15">
        <v>9.8753117209999992</v>
      </c>
    </row>
    <row r="12" spans="1:6">
      <c r="E12" s="15">
        <v>599.76470589999997</v>
      </c>
      <c r="F12" s="15">
        <v>47.581047380000001</v>
      </c>
    </row>
    <row r="13" spans="1:6">
      <c r="E13" s="15">
        <v>649.8823529</v>
      </c>
      <c r="F13" s="15">
        <v>83.715710720000004</v>
      </c>
    </row>
    <row r="14" spans="1:6">
      <c r="E14" s="15">
        <v>699.64705879999997</v>
      </c>
      <c r="F14" s="15">
        <v>99.875311719999999</v>
      </c>
    </row>
    <row r="15" spans="1:6">
      <c r="E15" s="15"/>
      <c r="F15" s="15"/>
    </row>
    <row r="16" spans="1:6">
      <c r="A16" s="4" t="s">
        <v>117</v>
      </c>
      <c r="E16" s="15">
        <v>400</v>
      </c>
      <c r="F16" s="15">
        <v>0</v>
      </c>
    </row>
    <row r="17" spans="5:6">
      <c r="E17" s="15">
        <v>500.58823530000001</v>
      </c>
      <c r="F17" s="15">
        <v>1.571072319</v>
      </c>
    </row>
    <row r="18" spans="5:6">
      <c r="E18" s="15">
        <v>549.29411760000005</v>
      </c>
      <c r="F18" s="15">
        <v>7.1820448880000001</v>
      </c>
    </row>
    <row r="19" spans="5:6">
      <c r="E19" s="15">
        <v>600.1176471</v>
      </c>
      <c r="F19" s="15">
        <v>30.748129680000002</v>
      </c>
    </row>
    <row r="20" spans="5:6">
      <c r="E20" s="15">
        <v>649.52941180000005</v>
      </c>
      <c r="F20" s="15">
        <v>67.556109730000003</v>
      </c>
    </row>
    <row r="21" spans="5:6">
      <c r="E21" s="15">
        <v>699.64705879999997</v>
      </c>
      <c r="F21" s="15">
        <v>86.184538649999993</v>
      </c>
    </row>
  </sheetData>
  <pageMargins left="0" right="0" top="0" bottom="0" header="0" footer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F21"/>
  <sheetViews>
    <sheetView workbookViewId="0"/>
  </sheetViews>
  <sheetFormatPr defaultColWidth="11.25" defaultRowHeight="15" customHeight="1"/>
  <sheetData>
    <row r="1" spans="1:6">
      <c r="E1" s="12" t="s">
        <v>1</v>
      </c>
      <c r="F1" s="13"/>
    </row>
    <row r="2" spans="1:6">
      <c r="A2" s="4" t="s">
        <v>118</v>
      </c>
      <c r="E2" s="15">
        <v>399.64705880000002</v>
      </c>
      <c r="F2" s="15">
        <v>2.6404576790000001E-4</v>
      </c>
    </row>
    <row r="3" spans="1:6">
      <c r="E3" s="15">
        <v>499.52941179999999</v>
      </c>
      <c r="F3" s="15">
        <v>1.9454892180000001</v>
      </c>
    </row>
    <row r="4" spans="1:6">
      <c r="E4" s="15">
        <v>550.35294120000003</v>
      </c>
      <c r="F4" s="15">
        <v>10.88502274</v>
      </c>
    </row>
    <row r="5" spans="1:6">
      <c r="E5" s="15">
        <v>600.47058819999995</v>
      </c>
      <c r="F5" s="15">
        <v>35.984685349999999</v>
      </c>
    </row>
    <row r="6" spans="1:6">
      <c r="E6" s="15">
        <v>650.23529410000003</v>
      </c>
      <c r="F6" s="15">
        <v>73.877629459999994</v>
      </c>
    </row>
    <row r="7" spans="1:6">
      <c r="E7" s="15">
        <v>700.35294120000003</v>
      </c>
      <c r="F7" s="15">
        <v>89.999735950000002</v>
      </c>
    </row>
    <row r="8" spans="1:6">
      <c r="E8" s="15"/>
      <c r="F8" s="15"/>
    </row>
    <row r="9" spans="1:6">
      <c r="A9" s="4" t="s">
        <v>119</v>
      </c>
      <c r="E9" s="15">
        <v>399.64705880000002</v>
      </c>
      <c r="F9" s="15">
        <v>-0.22417485700000001</v>
      </c>
    </row>
    <row r="10" spans="1:6">
      <c r="E10" s="15">
        <v>499.8823529</v>
      </c>
      <c r="F10" s="15">
        <v>-7.4724952329999997E-2</v>
      </c>
    </row>
    <row r="11" spans="1:6">
      <c r="E11" s="15">
        <v>551.05882350000002</v>
      </c>
      <c r="F11" s="15">
        <v>0.56030511959999996</v>
      </c>
    </row>
    <row r="12" spans="1:6">
      <c r="E12" s="15">
        <v>600.1176471</v>
      </c>
      <c r="F12" s="15">
        <v>7.0323309370000002</v>
      </c>
    </row>
    <row r="13" spans="1:6">
      <c r="E13" s="15">
        <v>650.23529410000003</v>
      </c>
      <c r="F13" s="15">
        <v>31.458676839999999</v>
      </c>
    </row>
    <row r="14" spans="1:6">
      <c r="E14" s="15">
        <v>700.35294120000003</v>
      </c>
      <c r="F14" s="15">
        <v>74.064573859999996</v>
      </c>
    </row>
    <row r="15" spans="1:6">
      <c r="E15" s="15"/>
      <c r="F15" s="15"/>
    </row>
    <row r="16" spans="1:6">
      <c r="A16" s="4" t="s">
        <v>120</v>
      </c>
      <c r="E16" s="15">
        <v>399.29411759999999</v>
      </c>
      <c r="F16" s="15">
        <v>-0.67278861670000001</v>
      </c>
    </row>
    <row r="17" spans="5:6">
      <c r="E17" s="15">
        <v>499.17647060000002</v>
      </c>
      <c r="F17" s="15">
        <v>2.3946310689999999</v>
      </c>
    </row>
    <row r="18" spans="5:6">
      <c r="E18" s="15">
        <v>550.35294120000003</v>
      </c>
      <c r="F18" s="15">
        <v>15.8226786</v>
      </c>
    </row>
    <row r="19" spans="5:6">
      <c r="E19" s="15">
        <v>600.1176471</v>
      </c>
      <c r="F19" s="15">
        <v>53.940061610000001</v>
      </c>
    </row>
    <row r="20" spans="5:6">
      <c r="E20" s="15">
        <v>650.23529410000003</v>
      </c>
      <c r="F20" s="15">
        <v>83.977380080000003</v>
      </c>
    </row>
    <row r="21" spans="5:6">
      <c r="E21" s="15">
        <v>700.35294120000003</v>
      </c>
      <c r="F21" s="15">
        <v>96.059586330000002</v>
      </c>
    </row>
  </sheetData>
  <pageMargins left="0" right="0" top="0" bottom="0" header="0" footer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F32"/>
  <sheetViews>
    <sheetView workbookViewId="0"/>
  </sheetViews>
  <sheetFormatPr defaultColWidth="11.25" defaultRowHeight="15" customHeight="1"/>
  <sheetData>
    <row r="1" spans="1:6">
      <c r="E1" s="12" t="s">
        <v>1</v>
      </c>
      <c r="F1" s="13"/>
    </row>
    <row r="2" spans="1:6">
      <c r="A2" s="4" t="s">
        <v>121</v>
      </c>
      <c r="E2" s="15">
        <v>350.8025682</v>
      </c>
      <c r="F2" s="15">
        <v>-0.467409933</v>
      </c>
    </row>
    <row r="3" spans="1:6">
      <c r="E3" s="15">
        <v>391.73354740000002</v>
      </c>
      <c r="F3" s="15">
        <v>-5.2900659080000002E-2</v>
      </c>
    </row>
    <row r="4" spans="1:6">
      <c r="E4" s="15">
        <v>434.26966290000001</v>
      </c>
      <c r="F4" s="15">
        <v>6.4549674079999999</v>
      </c>
    </row>
    <row r="5" spans="1:6">
      <c r="E5" s="15">
        <v>477.20706259999997</v>
      </c>
      <c r="F5" s="15">
        <v>26.506491199999999</v>
      </c>
    </row>
    <row r="6" spans="1:6">
      <c r="E6" s="15">
        <v>520.14446229999999</v>
      </c>
      <c r="F6" s="15">
        <v>67.776976619999999</v>
      </c>
    </row>
    <row r="7" spans="1:6">
      <c r="E7" s="15">
        <v>556.66131619999999</v>
      </c>
      <c r="F7" s="15">
        <v>97.992311290000004</v>
      </c>
    </row>
    <row r="8" spans="1:6">
      <c r="E8" s="15">
        <v>602.40770469999995</v>
      </c>
      <c r="F8" s="15">
        <v>99.531140730000004</v>
      </c>
    </row>
    <row r="9" spans="1:6">
      <c r="E9" s="15"/>
      <c r="F9" s="15"/>
    </row>
    <row r="10" spans="1:6">
      <c r="A10" s="4" t="s">
        <v>122</v>
      </c>
      <c r="E10" s="15">
        <v>353.611557</v>
      </c>
      <c r="F10" s="15">
        <v>2.6903246140000001</v>
      </c>
    </row>
    <row r="11" spans="1:6">
      <c r="E11" s="15">
        <v>393.73996790000001</v>
      </c>
      <c r="F11" s="15">
        <v>9.4261003159999994</v>
      </c>
    </row>
    <row r="12" spans="1:6">
      <c r="E12" s="15">
        <v>433.46709470000002</v>
      </c>
      <c r="F12" s="15">
        <v>27.44892007</v>
      </c>
    </row>
    <row r="13" spans="1:6">
      <c r="E13" s="15">
        <v>478.00963080000002</v>
      </c>
      <c r="F13" s="15">
        <v>59.688610779999998</v>
      </c>
    </row>
    <row r="14" spans="1:6">
      <c r="E14" s="15">
        <v>523.35473520000005</v>
      </c>
      <c r="F14" s="15">
        <v>93.281978629999998</v>
      </c>
    </row>
    <row r="15" spans="1:6">
      <c r="E15" s="15">
        <v>557.46388439999998</v>
      </c>
      <c r="F15" s="15">
        <v>100.0231893</v>
      </c>
    </row>
    <row r="16" spans="1:6">
      <c r="E16" s="15">
        <v>602.00642049999999</v>
      </c>
      <c r="F16" s="15">
        <v>99.531503069999999</v>
      </c>
    </row>
    <row r="17" spans="1:6">
      <c r="E17" s="15"/>
      <c r="F17" s="15"/>
    </row>
    <row r="18" spans="1:6">
      <c r="A18" s="4" t="s">
        <v>123</v>
      </c>
      <c r="E18" s="15">
        <v>347.59229529999999</v>
      </c>
      <c r="F18" s="15">
        <v>0.2126896362</v>
      </c>
    </row>
    <row r="19" spans="1:6">
      <c r="E19" s="15">
        <v>392.13483150000002</v>
      </c>
      <c r="F19" s="15">
        <v>5.1386105969999996</v>
      </c>
    </row>
    <row r="20" spans="1:6">
      <c r="E20" s="15">
        <v>433.86837880000002</v>
      </c>
      <c r="F20" s="15">
        <v>17.742011460000001</v>
      </c>
    </row>
    <row r="21" spans="1:6">
      <c r="E21" s="15">
        <v>474.79935790000002</v>
      </c>
      <c r="F21" s="15">
        <v>42.310019599999997</v>
      </c>
    </row>
    <row r="22" spans="1:6">
      <c r="E22" s="15">
        <v>515.32905300000004</v>
      </c>
      <c r="F22" s="15">
        <v>79.068006330000003</v>
      </c>
    </row>
    <row r="23" spans="1:6">
      <c r="E23" s="15">
        <v>557.86516849999998</v>
      </c>
      <c r="F23" s="15">
        <v>97.765490650000004</v>
      </c>
    </row>
    <row r="24" spans="1:6">
      <c r="E24" s="15">
        <v>600</v>
      </c>
      <c r="F24" s="15">
        <v>97.501712019999999</v>
      </c>
    </row>
    <row r="25" spans="1:6">
      <c r="E25" s="15"/>
      <c r="F25" s="15"/>
    </row>
    <row r="26" spans="1:6">
      <c r="A26" s="4" t="s">
        <v>124</v>
      </c>
      <c r="E26" s="15">
        <v>350.4012841</v>
      </c>
      <c r="F26" s="15">
        <v>-1.5580331100000001E-2</v>
      </c>
    </row>
    <row r="27" spans="1:6">
      <c r="E27" s="15">
        <v>392.53611560000002</v>
      </c>
      <c r="F27" s="15">
        <v>3.7838464580000002</v>
      </c>
    </row>
    <row r="28" spans="1:6">
      <c r="E28" s="15">
        <v>434.26966290000001</v>
      </c>
      <c r="F28" s="15">
        <v>14.581378239999999</v>
      </c>
    </row>
    <row r="29" spans="1:6">
      <c r="E29" s="15">
        <v>476.00321029999998</v>
      </c>
      <c r="F29" s="15">
        <v>39.14866172</v>
      </c>
    </row>
    <row r="30" spans="1:6">
      <c r="E30" s="15">
        <v>516.93418940000004</v>
      </c>
      <c r="F30" s="15">
        <v>70.940146170000006</v>
      </c>
    </row>
    <row r="31" spans="1:6">
      <c r="E31" s="15">
        <v>558.26645259999998</v>
      </c>
      <c r="F31" s="15">
        <v>96.410726510000003</v>
      </c>
    </row>
    <row r="32" spans="1:6">
      <c r="E32" s="15">
        <v>600.4012841</v>
      </c>
      <c r="F32" s="15">
        <v>98.630017859999995</v>
      </c>
    </row>
  </sheetData>
  <pageMargins left="0" right="0" top="0" bottom="0" header="0" footer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F67"/>
  <sheetViews>
    <sheetView workbookViewId="0"/>
  </sheetViews>
  <sheetFormatPr defaultColWidth="11.25" defaultRowHeight="15" customHeight="1"/>
  <sheetData>
    <row r="1" spans="1:6">
      <c r="E1" s="12" t="s">
        <v>1</v>
      </c>
      <c r="F1" s="13"/>
    </row>
    <row r="2" spans="1:6">
      <c r="A2" s="4" t="s">
        <v>125</v>
      </c>
      <c r="E2" s="15">
        <v>350.88028170000001</v>
      </c>
      <c r="F2" s="15">
        <v>35.734324280000003</v>
      </c>
    </row>
    <row r="3" spans="1:6">
      <c r="E3" s="15">
        <v>399.73591549999998</v>
      </c>
      <c r="F3" s="15">
        <v>77.441144140000006</v>
      </c>
    </row>
    <row r="4" spans="1:6">
      <c r="E4" s="15">
        <v>450.35211270000002</v>
      </c>
      <c r="F4" s="15">
        <v>98.457030750000001</v>
      </c>
    </row>
    <row r="5" spans="1:6">
      <c r="E5" s="15">
        <v>500.52816899999999</v>
      </c>
      <c r="F5" s="15">
        <v>100.0539991</v>
      </c>
    </row>
    <row r="6" spans="1:6">
      <c r="E6" s="15">
        <v>550.26408449999997</v>
      </c>
      <c r="F6" s="15">
        <v>100.0178932</v>
      </c>
    </row>
    <row r="7" spans="1:6">
      <c r="E7" s="15">
        <v>600</v>
      </c>
      <c r="F7" s="15">
        <v>100.1632755</v>
      </c>
    </row>
    <row r="8" spans="1:6">
      <c r="E8" s="15"/>
      <c r="F8" s="15"/>
    </row>
    <row r="9" spans="1:6">
      <c r="A9" s="4" t="s">
        <v>126</v>
      </c>
      <c r="E9" s="15">
        <v>350</v>
      </c>
      <c r="F9" s="15">
        <v>19.038048620000001</v>
      </c>
    </row>
    <row r="10" spans="1:6">
      <c r="E10" s="15">
        <v>399.73591549999998</v>
      </c>
      <c r="F10" s="15">
        <v>52.214283889999997</v>
      </c>
    </row>
    <row r="11" spans="1:6">
      <c r="E11" s="15">
        <v>449.03169009999999</v>
      </c>
      <c r="F11" s="15">
        <v>89.928043759999994</v>
      </c>
    </row>
    <row r="12" spans="1:6">
      <c r="E12" s="15">
        <v>500.0880282</v>
      </c>
      <c r="F12" s="15">
        <v>99.691342250000005</v>
      </c>
    </row>
    <row r="13" spans="1:6">
      <c r="E13" s="15">
        <v>550.26408449999997</v>
      </c>
      <c r="F13" s="15">
        <v>99.654916799999995</v>
      </c>
    </row>
    <row r="14" spans="1:6">
      <c r="E14" s="15">
        <v>600.88028169999995</v>
      </c>
      <c r="F14" s="15">
        <v>100.1626364</v>
      </c>
    </row>
    <row r="15" spans="1:6">
      <c r="E15" s="15"/>
      <c r="F15" s="15"/>
    </row>
    <row r="16" spans="1:6">
      <c r="A16" s="4" t="s">
        <v>127</v>
      </c>
      <c r="E16" s="15">
        <v>349.55985920000001</v>
      </c>
      <c r="F16" s="15">
        <v>15.953068679999999</v>
      </c>
    </row>
    <row r="17" spans="1:6">
      <c r="E17" s="15">
        <v>400.17605630000003</v>
      </c>
      <c r="F17" s="15">
        <v>50.399082329999999</v>
      </c>
    </row>
    <row r="18" spans="1:6">
      <c r="E18" s="15">
        <v>449.9119718</v>
      </c>
      <c r="F18" s="15">
        <v>90.653357529999994</v>
      </c>
    </row>
    <row r="19" spans="1:6">
      <c r="E19" s="15">
        <v>500.0880282</v>
      </c>
      <c r="F19" s="15">
        <v>99.691342250000005</v>
      </c>
    </row>
    <row r="20" spans="1:6">
      <c r="E20" s="15">
        <v>550.26408449999997</v>
      </c>
      <c r="F20" s="15">
        <v>99.836404999999999</v>
      </c>
    </row>
    <row r="21" spans="1:6">
      <c r="E21" s="15">
        <v>600.44014079999999</v>
      </c>
      <c r="F21" s="15">
        <v>99.981467749999993</v>
      </c>
    </row>
    <row r="22" spans="1:6">
      <c r="E22" s="15"/>
      <c r="F22" s="15"/>
    </row>
    <row r="23" spans="1:6">
      <c r="A23" s="4" t="s">
        <v>128</v>
      </c>
      <c r="E23" s="15">
        <v>350</v>
      </c>
      <c r="F23" s="15">
        <v>15.04530815</v>
      </c>
    </row>
    <row r="24" spans="1:6">
      <c r="E24" s="15">
        <v>400.17605630000003</v>
      </c>
      <c r="F24" s="15">
        <v>48.947176710000001</v>
      </c>
    </row>
    <row r="25" spans="1:6">
      <c r="E25" s="15">
        <v>450.35211270000002</v>
      </c>
      <c r="F25" s="15">
        <v>88.656667769999999</v>
      </c>
    </row>
    <row r="26" spans="1:6">
      <c r="E26" s="15">
        <v>500.0880282</v>
      </c>
      <c r="F26" s="15">
        <v>100.0543187</v>
      </c>
    </row>
    <row r="27" spans="1:6">
      <c r="E27" s="15">
        <v>550.26408449999997</v>
      </c>
      <c r="F27" s="15">
        <v>100.0178932</v>
      </c>
    </row>
    <row r="28" spans="1:6">
      <c r="E28" s="15">
        <v>600.44014079999999</v>
      </c>
      <c r="F28" s="15">
        <v>100.16295599999999</v>
      </c>
    </row>
    <row r="29" spans="1:6">
      <c r="E29" s="15"/>
      <c r="F29" s="15"/>
    </row>
    <row r="30" spans="1:6">
      <c r="A30" s="4" t="s">
        <v>129</v>
      </c>
      <c r="E30" s="15">
        <v>350</v>
      </c>
      <c r="F30" s="15">
        <v>12.141496890000001</v>
      </c>
    </row>
    <row r="31" spans="1:6">
      <c r="E31" s="15">
        <v>400.17605630000003</v>
      </c>
      <c r="F31" s="15">
        <v>36.968955289999997</v>
      </c>
    </row>
    <row r="32" spans="1:6">
      <c r="E32" s="15">
        <v>450.79225350000002</v>
      </c>
      <c r="F32" s="15">
        <v>72.140921759999998</v>
      </c>
    </row>
    <row r="33" spans="1:6">
      <c r="E33" s="15">
        <v>499.64788729999998</v>
      </c>
      <c r="F33" s="15">
        <v>94.247015669999996</v>
      </c>
    </row>
    <row r="34" spans="1:6">
      <c r="E34" s="15">
        <v>550.26408449999997</v>
      </c>
      <c r="F34" s="15">
        <v>99.836404999999999</v>
      </c>
    </row>
    <row r="35" spans="1:6">
      <c r="E35" s="15">
        <v>600.44014079999999</v>
      </c>
      <c r="F35" s="15">
        <v>99.981467749999993</v>
      </c>
    </row>
    <row r="36" spans="1:6">
      <c r="E36" s="15"/>
      <c r="F36" s="15"/>
    </row>
    <row r="37" spans="1:6">
      <c r="A37" s="4" t="s">
        <v>130</v>
      </c>
      <c r="E37" s="15">
        <v>350</v>
      </c>
      <c r="F37" s="15">
        <v>3.6115513410000002</v>
      </c>
    </row>
    <row r="38" spans="1:6">
      <c r="E38" s="15">
        <v>400.17605630000003</v>
      </c>
      <c r="F38" s="15">
        <v>13.91995348</v>
      </c>
    </row>
    <row r="39" spans="1:6">
      <c r="E39" s="15">
        <v>449.9119718</v>
      </c>
      <c r="F39" s="15">
        <v>62.70417423</v>
      </c>
    </row>
    <row r="40" spans="1:6">
      <c r="E40" s="15">
        <v>500.0880282</v>
      </c>
      <c r="F40" s="15">
        <v>95.880089979999994</v>
      </c>
    </row>
    <row r="41" spans="1:6">
      <c r="E41" s="15">
        <v>550.26408449999997</v>
      </c>
      <c r="F41" s="15">
        <v>99.654916799999995</v>
      </c>
    </row>
    <row r="42" spans="1:6">
      <c r="E42" s="15">
        <v>600.44014079999999</v>
      </c>
      <c r="F42" s="15">
        <v>99.799979550000003</v>
      </c>
    </row>
    <row r="43" spans="1:6">
      <c r="E43" s="15"/>
      <c r="F43" s="15"/>
    </row>
    <row r="44" spans="1:6">
      <c r="A44" s="4" t="s">
        <v>131</v>
      </c>
      <c r="E44" s="15">
        <v>350</v>
      </c>
      <c r="F44" s="15">
        <v>1.978157511</v>
      </c>
    </row>
    <row r="45" spans="1:6">
      <c r="E45" s="15">
        <v>399.73591549999998</v>
      </c>
      <c r="F45" s="15">
        <v>8.475626901</v>
      </c>
    </row>
    <row r="46" spans="1:6">
      <c r="E46" s="15">
        <v>449.9119718</v>
      </c>
      <c r="F46" s="15">
        <v>28.94736842</v>
      </c>
    </row>
    <row r="47" spans="1:6">
      <c r="E47" s="15">
        <v>500.0880282</v>
      </c>
      <c r="F47" s="15">
        <v>64.482630810000003</v>
      </c>
    </row>
    <row r="48" spans="1:6">
      <c r="E48" s="15"/>
      <c r="F48" s="15"/>
    </row>
    <row r="49" spans="1:6">
      <c r="A49" s="4" t="s">
        <v>132</v>
      </c>
      <c r="E49" s="15">
        <v>349.55985920000001</v>
      </c>
      <c r="F49" s="15">
        <v>0.70805960990000005</v>
      </c>
    </row>
    <row r="50" spans="1:6">
      <c r="E50" s="15">
        <v>450.35211270000002</v>
      </c>
      <c r="F50" s="15">
        <v>12.976087010000001</v>
      </c>
    </row>
    <row r="51" spans="1:6">
      <c r="E51" s="15">
        <v>500.0880282</v>
      </c>
      <c r="F51" s="15">
        <v>33.085171649999999</v>
      </c>
    </row>
    <row r="52" spans="1:6">
      <c r="E52" s="15">
        <v>550.26408449999997</v>
      </c>
      <c r="F52" s="15">
        <v>62.994299740000002</v>
      </c>
    </row>
    <row r="53" spans="1:6">
      <c r="E53" s="15">
        <v>600.44014079999999</v>
      </c>
      <c r="F53" s="15">
        <v>98.16658572</v>
      </c>
    </row>
    <row r="54" spans="1:6">
      <c r="E54" s="15"/>
      <c r="F54" s="15"/>
    </row>
    <row r="55" spans="1:6">
      <c r="A55" s="14" t="s">
        <v>133</v>
      </c>
      <c r="E55" s="15">
        <v>350</v>
      </c>
      <c r="F55" s="15">
        <v>4.5189923570000001</v>
      </c>
    </row>
    <row r="56" spans="1:6">
      <c r="E56" s="15">
        <v>399.73591549999998</v>
      </c>
      <c r="F56" s="15">
        <v>5.2088392419999998</v>
      </c>
    </row>
    <row r="57" spans="1:6">
      <c r="E57" s="15">
        <v>449.9119718</v>
      </c>
      <c r="F57" s="15">
        <v>11.52450091</v>
      </c>
    </row>
    <row r="58" spans="1:6">
      <c r="E58" s="15">
        <v>500.52816899999999</v>
      </c>
      <c r="F58" s="15">
        <v>30.725505479999999</v>
      </c>
    </row>
    <row r="59" spans="1:6">
      <c r="E59" s="15">
        <v>549.82394369999997</v>
      </c>
      <c r="F59" s="15">
        <v>61.542713630000002</v>
      </c>
    </row>
    <row r="60" spans="1:6">
      <c r="E60" s="15">
        <v>599.55985920000001</v>
      </c>
      <c r="F60" s="15">
        <v>93.992996090000005</v>
      </c>
    </row>
    <row r="61" spans="1:6">
      <c r="E61" s="15"/>
      <c r="F61" s="15"/>
    </row>
    <row r="62" spans="1:6">
      <c r="A62" s="4" t="s">
        <v>134</v>
      </c>
      <c r="E62" s="15">
        <v>350</v>
      </c>
      <c r="F62" s="15">
        <v>1.978157511</v>
      </c>
    </row>
    <row r="63" spans="1:6">
      <c r="E63" s="15">
        <v>400.17605630000003</v>
      </c>
      <c r="F63" s="15">
        <v>4.1195905010000002</v>
      </c>
    </row>
    <row r="64" spans="1:6">
      <c r="E64" s="15">
        <v>450.79225350000002</v>
      </c>
      <c r="F64" s="15">
        <v>10.616420850000001</v>
      </c>
    </row>
    <row r="65" spans="5:6">
      <c r="E65" s="15">
        <v>500.52816899999999</v>
      </c>
      <c r="F65" s="15">
        <v>28.003182429999999</v>
      </c>
    </row>
    <row r="66" spans="5:6">
      <c r="E66" s="15">
        <v>550.26408449999997</v>
      </c>
      <c r="F66" s="15">
        <v>53.919889570000002</v>
      </c>
    </row>
    <row r="67" spans="5:6">
      <c r="E67" s="15">
        <v>600.44014079999999</v>
      </c>
      <c r="F67" s="15">
        <v>90.362592980000002</v>
      </c>
    </row>
  </sheetData>
  <pageMargins left="0" right="0" top="0" bottom="0" header="0" footer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"/>
  <sheetViews>
    <sheetView workbookViewId="0"/>
  </sheetViews>
  <sheetFormatPr defaultColWidth="11.25" defaultRowHeight="15" customHeight="1"/>
  <sheetData/>
  <pageMargins left="0" right="0" top="0" bottom="0" header="0" footer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"/>
  <sheetViews>
    <sheetView workbookViewId="0"/>
  </sheetViews>
  <sheetFormatPr defaultColWidth="11.25" defaultRowHeight="15" customHeight="1"/>
  <sheetData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Franckel, Mathilde L D</dc:creator>
  <cp:keywords/>
  <dc:description/>
  <cp:lastModifiedBy>flaifil@live.fr</cp:lastModifiedBy>
  <cp:revision/>
  <dcterms:created xsi:type="dcterms:W3CDTF">2025-12-05T15:56:56Z</dcterms:created>
  <dcterms:modified xsi:type="dcterms:W3CDTF">2026-03-03T16:40:04Z</dcterms:modified>
  <cp:category/>
  <cp:contentStatus/>
</cp:coreProperties>
</file>